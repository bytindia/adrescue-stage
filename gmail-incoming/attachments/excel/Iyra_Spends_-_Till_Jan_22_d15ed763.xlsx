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Jan 19" sheetId="2" r:id="rId6"/>
    <sheet state="visible" name="Jan 22" sheetId="3" r:id="rId7"/>
    <sheet state="visible" name="Jan 23" sheetId="4" r:id="rId8"/>
    <sheet state="visible" name="Jan 29" sheetId="5" r:id="rId9"/>
    <sheet state="visible" name="Feb 17" sheetId="6" r:id="rId10"/>
    <sheet state="visible" name="Feb 18" sheetId="7" r:id="rId11"/>
    <sheet state="visible" name="Feb 19" sheetId="8" r:id="rId12"/>
    <sheet state="visible" name="Feb 20" sheetId="9" r:id="rId13"/>
  </sheets>
  <definedNames/>
  <calcPr/>
</workbook>
</file>

<file path=xl/sharedStrings.xml><?xml version="1.0" encoding="utf-8"?>
<sst xmlns="http://schemas.openxmlformats.org/spreadsheetml/2006/main" count="341" uniqueCount="40">
  <si>
    <t>Iyra City</t>
  </si>
  <si>
    <t>Last month</t>
  </si>
  <si>
    <t>Jan 1 - 13</t>
  </si>
  <si>
    <t>Jan 14- 22</t>
  </si>
  <si>
    <t>Spent</t>
  </si>
  <si>
    <t>Received</t>
  </si>
  <si>
    <t>300,000+79,162= 379,162</t>
  </si>
  <si>
    <t>300,000-6,342= 293,658</t>
  </si>
  <si>
    <t>Balance</t>
  </si>
  <si>
    <t>We are supposed to raise on Jan 12 (Monday)</t>
  </si>
  <si>
    <t>raised on Jan 14. received from Iyra on Jan 21st because of Pongal holidays</t>
  </si>
  <si>
    <t>Spent 2.5L in 8 days (Jan 14 - 22). Agreed budget is 10L/ month. which is 35k per day.</t>
  </si>
  <si>
    <t xml:space="preserve">Way forward </t>
  </si>
  <si>
    <t>Can we Plan the budget &amp; Split part for next month Before Jan 25th ?</t>
  </si>
  <si>
    <t xml:space="preserve">We will share daily spends sheet  </t>
  </si>
  <si>
    <t>https://docs.google.com/spreadsheets/d/1cHCARB4cmwmQiEt5WbuRivDAwDovOlNsvslbY0o9BOA/edit?gid=1570737331#gid=1570737331</t>
  </si>
  <si>
    <t>https://docs.google.com/spreadsheets/d/1UQLsav-s_YzsCr7DH8MKNN3OLt-ldk3mNyECQ3MZvpI/edit?gid=802139318#gid=802139318</t>
  </si>
  <si>
    <t xml:space="preserve">December </t>
  </si>
  <si>
    <t>Spends</t>
  </si>
  <si>
    <t>In Hand</t>
  </si>
  <si>
    <t>City</t>
  </si>
  <si>
    <t>Amara</t>
  </si>
  <si>
    <t>Spire</t>
  </si>
  <si>
    <t>TOTAL</t>
  </si>
  <si>
    <t>January</t>
  </si>
  <si>
    <t>Budget</t>
  </si>
  <si>
    <t>Total</t>
  </si>
  <si>
    <t>Profoma to raise
as per Budget</t>
  </si>
  <si>
    <t>per day budget with in Hand</t>
  </si>
  <si>
    <t>february</t>
  </si>
  <si>
    <t>Project</t>
  </si>
  <si>
    <t>Meta</t>
  </si>
  <si>
    <t>Google</t>
  </si>
  <si>
    <t>SV</t>
  </si>
  <si>
    <t>CPSV</t>
  </si>
  <si>
    <t>Leads</t>
  </si>
  <si>
    <t>CPL</t>
  </si>
  <si>
    <t>Iyra Amara</t>
  </si>
  <si>
    <t>Iyra Spire</t>
  </si>
  <si>
    <t>x`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</si>
</sst>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CFE2F3"/>
      <name val="Arial"/>
    </font>
    <font>
      <color theme="1"/>
      <name val="Arial"/>
    </font>
    <font>
      <b/>
      <color theme="1"/>
      <name val="Arial"/>
    </font>
    <font>
      <b/>
      <color rgb="FFFFFFFF"/>
      <name val="Arial"/>
    </font>
    <font/>
    <font>
      <sz val="11.0"/>
      <color rgb="FF1C2B33"/>
      <name val="&quot;Optimistic 95&quot;"/>
    </font>
  </fonts>
  <fills count="11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/>
    </xf>
    <xf borderId="1" fillId="0" fontId="5" numFmtId="3" xfId="0" applyAlignment="1" applyBorder="1" applyFont="1" applyNumberFormat="1">
      <alignment horizontal="center" readingOrder="0"/>
    </xf>
    <xf borderId="1" fillId="3" fontId="5" numFmtId="3" xfId="0" applyAlignment="1" applyBorder="1" applyFill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/>
    </xf>
    <xf borderId="1" fillId="0" fontId="5" numFmtId="3" xfId="0" applyBorder="1" applyFont="1" applyNumberFormat="1"/>
    <xf borderId="1" fillId="4" fontId="6" numFmtId="0" xfId="0" applyAlignment="1" applyBorder="1" applyFill="1" applyFont="1">
      <alignment horizontal="center"/>
    </xf>
    <xf borderId="1" fillId="4" fontId="6" numFmtId="3" xfId="0" applyAlignment="1" applyBorder="1" applyFont="1" applyNumberFormat="1">
      <alignment horizontal="center"/>
    </xf>
    <xf borderId="1" fillId="4" fontId="6" numFmtId="3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 vertical="center"/>
    </xf>
    <xf borderId="1" fillId="5" fontId="6" numFmtId="3" xfId="0" applyAlignment="1" applyBorder="1" applyFill="1" applyFont="1" applyNumberFormat="1">
      <alignment horizontal="center"/>
    </xf>
    <xf borderId="1" fillId="3" fontId="5" numFmtId="3" xfId="0" applyAlignment="1" applyBorder="1" applyFont="1" applyNumberFormat="1">
      <alignment horizontal="center"/>
    </xf>
    <xf borderId="1" fillId="6" fontId="5" numFmtId="3" xfId="0" applyAlignment="1" applyBorder="1" applyFill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center"/>
    </xf>
    <xf borderId="1" fillId="7" fontId="7" numFmtId="0" xfId="0" applyAlignment="1" applyBorder="1" applyFill="1" applyFont="1">
      <alignment horizontal="center" shrinkToFit="0" vertical="center" wrapText="1"/>
    </xf>
    <xf borderId="1" fillId="8" fontId="2" numFmtId="1" xfId="0" applyAlignment="1" applyBorder="1" applyFill="1" applyFont="1" applyNumberFormat="1">
      <alignment horizontal="center"/>
    </xf>
    <xf borderId="1" fillId="9" fontId="2" numFmtId="1" xfId="0" applyAlignment="1" applyBorder="1" applyFill="1" applyFont="1" applyNumberFormat="1">
      <alignment horizontal="center"/>
    </xf>
    <xf borderId="1" fillId="10" fontId="2" numFmtId="1" xfId="0" applyAlignment="1" applyBorder="1" applyFill="1" applyFont="1" applyNumberFormat="1">
      <alignment horizontal="center"/>
    </xf>
    <xf borderId="1" fillId="2" fontId="7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 vertical="center"/>
    </xf>
    <xf borderId="3" fillId="2" fontId="7" numFmtId="0" xfId="0" applyAlignment="1" applyBorder="1" applyFont="1">
      <alignment horizontal="center" readingOrder="0" vertical="center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1" fillId="2" fontId="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1" fillId="0" fontId="6" numFmtId="3" xfId="0" applyAlignment="1" applyBorder="1" applyFont="1" applyNumberFormat="1">
      <alignment horizontal="center" readingOrder="0"/>
    </xf>
    <xf borderId="1" fillId="4" fontId="5" numFmtId="3" xfId="0" applyAlignment="1" applyBorder="1" applyFont="1" applyNumberFormat="1">
      <alignment horizontal="center"/>
    </xf>
    <xf borderId="1" fillId="4" fontId="5" numFmtId="3" xfId="0" applyAlignment="1" applyBorder="1" applyFont="1" applyNumberFormat="1">
      <alignment horizontal="center" readingOrder="0"/>
    </xf>
    <xf borderId="1" fillId="4" fontId="6" numFmtId="3" xfId="0" applyAlignment="1" applyBorder="1" applyFont="1" applyNumberFormat="1">
      <alignment horizontal="center" readingOrder="0"/>
    </xf>
    <xf borderId="0" fillId="3" fontId="9" numFmtId="3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HCARB4cmwmQiEt5WbuRivDAwDovOlNsvslbY0o9BOA/edit?gid=1570737331" TargetMode="External"/><Relationship Id="rId2" Type="http://schemas.openxmlformats.org/officeDocument/2006/relationships/hyperlink" Target="https://docs.google.com/spreadsheets/d/1UQLsav-s_YzsCr7DH8MKNN3OLt-ldk3mNyECQ3MZvpI/edit?gid=80213931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5"/>
    <col customWidth="1" min="6" max="6" width="20.13"/>
  </cols>
  <sheetData>
    <row r="6">
      <c r="C6" s="1" t="s">
        <v>0</v>
      </c>
      <c r="D6" s="2" t="s">
        <v>1</v>
      </c>
      <c r="E6" s="2" t="s">
        <v>2</v>
      </c>
      <c r="F6" s="2" t="s">
        <v>3</v>
      </c>
    </row>
    <row r="7">
      <c r="C7" s="3" t="s">
        <v>4</v>
      </c>
      <c r="D7" s="4">
        <v>320838.0</v>
      </c>
      <c r="E7" s="4">
        <v>385504.0</v>
      </c>
      <c r="F7" s="4">
        <v>245774.0</v>
      </c>
    </row>
    <row r="8">
      <c r="C8" s="3" t="s">
        <v>5</v>
      </c>
      <c r="D8" s="4">
        <v>400000.0</v>
      </c>
      <c r="E8" s="5" t="s">
        <v>6</v>
      </c>
      <c r="F8" s="5" t="s">
        <v>7</v>
      </c>
    </row>
    <row r="9">
      <c r="C9" s="3" t="s">
        <v>8</v>
      </c>
      <c r="D9" s="4">
        <v>79162.0</v>
      </c>
      <c r="E9" s="4">
        <f>379162-385504</f>
        <v>-6342</v>
      </c>
      <c r="F9" s="4">
        <v>47884.0</v>
      </c>
    </row>
    <row r="13">
      <c r="C13" s="6" t="s">
        <v>9</v>
      </c>
    </row>
    <row r="14">
      <c r="C14" s="6" t="s">
        <v>10</v>
      </c>
    </row>
    <row r="15">
      <c r="C15" s="6" t="s">
        <v>11</v>
      </c>
    </row>
    <row r="20">
      <c r="C20" s="7" t="s">
        <v>12</v>
      </c>
    </row>
    <row r="21">
      <c r="C21" s="6" t="s">
        <v>13</v>
      </c>
    </row>
    <row r="22">
      <c r="C22" s="6" t="s">
        <v>14</v>
      </c>
    </row>
    <row r="23">
      <c r="C23" s="8" t="s">
        <v>15</v>
      </c>
    </row>
    <row r="24">
      <c r="C24" s="8" t="s">
        <v>16</v>
      </c>
    </row>
  </sheetData>
  <hyperlinks>
    <hyperlink r:id="rId1" location="gid=1570737331" ref="C23"/>
    <hyperlink r:id="rId2" location="gid=802139318" ref="C2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</cols>
  <sheetData>
    <row r="5">
      <c r="C5" s="9" t="s">
        <v>17</v>
      </c>
      <c r="D5" s="9" t="s">
        <v>18</v>
      </c>
      <c r="E5" s="9" t="s">
        <v>5</v>
      </c>
      <c r="F5" s="9" t="s">
        <v>19</v>
      </c>
      <c r="G5" s="10"/>
      <c r="H5" s="10"/>
    </row>
    <row r="6">
      <c r="C6" s="11" t="s">
        <v>20</v>
      </c>
      <c r="D6" s="12">
        <v>378589.0</v>
      </c>
      <c r="E6" s="13">
        <f>400000*1.18</f>
        <v>472000</v>
      </c>
      <c r="F6" s="14">
        <f t="shared" ref="F6:F9" si="1">E6-D6</f>
        <v>93411</v>
      </c>
      <c r="G6" s="10"/>
      <c r="H6" s="10"/>
    </row>
    <row r="7">
      <c r="C7" s="11" t="s">
        <v>21</v>
      </c>
      <c r="D7" s="12">
        <v>53747.0</v>
      </c>
      <c r="E7" s="13">
        <f>200000*1.18</f>
        <v>236000</v>
      </c>
      <c r="F7" s="14">
        <f t="shared" si="1"/>
        <v>182253</v>
      </c>
      <c r="G7" s="10"/>
      <c r="H7" s="10"/>
    </row>
    <row r="8">
      <c r="C8" s="11" t="s">
        <v>22</v>
      </c>
      <c r="D8" s="15"/>
      <c r="E8" s="15"/>
      <c r="F8" s="14">
        <f t="shared" si="1"/>
        <v>0</v>
      </c>
      <c r="G8" s="10"/>
      <c r="H8" s="10"/>
    </row>
    <row r="9">
      <c r="C9" s="16" t="s">
        <v>23</v>
      </c>
      <c r="D9" s="17">
        <f t="shared" ref="D9:E9" si="2">SUM(D6:D8)</f>
        <v>432336</v>
      </c>
      <c r="E9" s="18">
        <f t="shared" si="2"/>
        <v>708000</v>
      </c>
      <c r="F9" s="17">
        <f t="shared" si="1"/>
        <v>275664</v>
      </c>
      <c r="G9" s="10"/>
      <c r="H9" s="10"/>
    </row>
    <row r="10">
      <c r="C10" s="10"/>
      <c r="D10" s="10"/>
      <c r="E10" s="10"/>
      <c r="F10" s="10"/>
      <c r="G10" s="10"/>
      <c r="H10" s="10"/>
    </row>
    <row r="11">
      <c r="C11" s="10"/>
      <c r="D11" s="10"/>
      <c r="E11" s="10"/>
      <c r="F11" s="10"/>
      <c r="G11" s="10"/>
      <c r="H11" s="10"/>
    </row>
    <row r="12">
      <c r="C12" s="19" t="s">
        <v>24</v>
      </c>
      <c r="D12" s="19" t="s">
        <v>25</v>
      </c>
      <c r="E12" s="19" t="s">
        <v>18</v>
      </c>
      <c r="F12" s="19" t="s">
        <v>5</v>
      </c>
      <c r="G12" s="19" t="s">
        <v>19</v>
      </c>
    </row>
    <row r="13">
      <c r="C13" s="11" t="s">
        <v>20</v>
      </c>
      <c r="D13" s="12">
        <f>1000000*1.18</f>
        <v>1180000</v>
      </c>
      <c r="E13" s="12">
        <v>644470.0</v>
      </c>
      <c r="F13" s="13">
        <f>300000*1.18</f>
        <v>354000</v>
      </c>
      <c r="G13" s="14">
        <f t="shared" ref="G13:G14" si="3">(F13+F6)-E13</f>
        <v>-197059</v>
      </c>
    </row>
    <row r="14">
      <c r="C14" s="11" t="s">
        <v>21</v>
      </c>
      <c r="D14" s="12">
        <f>550000*1.18</f>
        <v>649000</v>
      </c>
      <c r="E14" s="12">
        <v>238388.0</v>
      </c>
      <c r="F14" s="12"/>
      <c r="G14" s="14">
        <f t="shared" si="3"/>
        <v>-56135</v>
      </c>
    </row>
    <row r="15">
      <c r="C15" s="11" t="s">
        <v>22</v>
      </c>
      <c r="D15" s="12">
        <f>600000*1.18</f>
        <v>708000</v>
      </c>
      <c r="E15" s="12">
        <v>111312.0</v>
      </c>
      <c r="F15" s="13"/>
      <c r="G15" s="14">
        <f>F15-E15</f>
        <v>-111312</v>
      </c>
    </row>
    <row r="16">
      <c r="C16" s="16" t="s">
        <v>23</v>
      </c>
      <c r="D16" s="17">
        <f t="shared" ref="D16:F16" si="4">SUM(D13:D15)</f>
        <v>2537000</v>
      </c>
      <c r="E16" s="17">
        <f t="shared" si="4"/>
        <v>994170</v>
      </c>
      <c r="F16" s="18">
        <f t="shared" si="4"/>
        <v>354000</v>
      </c>
      <c r="G16" s="20">
        <f>(F16+F9)-E16</f>
        <v>-364506</v>
      </c>
    </row>
    <row r="17">
      <c r="C17" s="10"/>
      <c r="D17" s="10"/>
      <c r="E17" s="10"/>
      <c r="F17" s="10"/>
      <c r="G17" s="10"/>
      <c r="H17" s="10"/>
    </row>
    <row r="18">
      <c r="C18" s="10"/>
      <c r="D18" s="10"/>
      <c r="E18" s="10"/>
      <c r="F18" s="10"/>
      <c r="G18" s="10"/>
      <c r="H18" s="10"/>
    </row>
    <row r="19">
      <c r="C19" s="9" t="s">
        <v>26</v>
      </c>
      <c r="D19" s="9" t="s">
        <v>18</v>
      </c>
      <c r="E19" s="9" t="s">
        <v>5</v>
      </c>
      <c r="F19" s="9" t="s">
        <v>19</v>
      </c>
      <c r="G19" s="10"/>
      <c r="H19" s="10"/>
    </row>
    <row r="20">
      <c r="C20" s="11" t="s">
        <v>20</v>
      </c>
      <c r="D20" s="14">
        <f t="shared" ref="D20:E20" si="5">D6+E13</f>
        <v>1023059</v>
      </c>
      <c r="E20" s="21">
        <f t="shared" si="5"/>
        <v>826000</v>
      </c>
      <c r="F20" s="14">
        <f t="shared" ref="F20:F23" si="7">E20-D20</f>
        <v>-197059</v>
      </c>
      <c r="G20" s="10"/>
      <c r="H20" s="10"/>
    </row>
    <row r="21">
      <c r="C21" s="11" t="s">
        <v>21</v>
      </c>
      <c r="D21" s="14">
        <f t="shared" ref="D21:E21" si="6">D7+E14</f>
        <v>292135</v>
      </c>
      <c r="E21" s="21">
        <f t="shared" si="6"/>
        <v>236000</v>
      </c>
      <c r="F21" s="14">
        <f t="shared" si="7"/>
        <v>-56135</v>
      </c>
      <c r="G21" s="10"/>
      <c r="H21" s="10"/>
    </row>
    <row r="22">
      <c r="C22" s="11" t="s">
        <v>22</v>
      </c>
      <c r="D22" s="14">
        <f>D8+E15</f>
        <v>111312</v>
      </c>
      <c r="E22" s="22"/>
      <c r="F22" s="14">
        <f t="shared" si="7"/>
        <v>-111312</v>
      </c>
      <c r="G22" s="10"/>
      <c r="H22" s="10"/>
    </row>
    <row r="23">
      <c r="C23" s="16" t="s">
        <v>23</v>
      </c>
      <c r="D23" s="17">
        <f t="shared" ref="D23:E23" si="8">SUM(D20:D22)</f>
        <v>1426506</v>
      </c>
      <c r="E23" s="18">
        <f t="shared" si="8"/>
        <v>1062000</v>
      </c>
      <c r="F23" s="17">
        <f t="shared" si="7"/>
        <v>-364506</v>
      </c>
      <c r="G23" s="10"/>
      <c r="H23" s="10"/>
    </row>
    <row r="26">
      <c r="C26" s="9" t="s">
        <v>26</v>
      </c>
      <c r="D26" s="9" t="s">
        <v>18</v>
      </c>
      <c r="E26" s="9" t="s">
        <v>5</v>
      </c>
      <c r="F26" s="9" t="s">
        <v>19</v>
      </c>
    </row>
    <row r="27">
      <c r="C27" s="11" t="s">
        <v>20</v>
      </c>
      <c r="D27" s="14">
        <v>1023059.0</v>
      </c>
      <c r="E27" s="21">
        <v>826000.0</v>
      </c>
      <c r="F27" s="14">
        <f t="shared" ref="F27:F30" si="9">E27-D27</f>
        <v>-197059</v>
      </c>
    </row>
    <row r="28">
      <c r="C28" s="11" t="s">
        <v>21</v>
      </c>
      <c r="D28" s="14">
        <v>292135.0</v>
      </c>
      <c r="E28" s="21">
        <v>236000.0</v>
      </c>
      <c r="F28" s="14">
        <f t="shared" si="9"/>
        <v>-56135</v>
      </c>
    </row>
    <row r="29">
      <c r="C29" s="11" t="s">
        <v>22</v>
      </c>
      <c r="D29" s="14">
        <v>111312.0</v>
      </c>
      <c r="E29" s="13">
        <f>300000*1.18</f>
        <v>354000</v>
      </c>
      <c r="F29" s="14">
        <f t="shared" si="9"/>
        <v>242688</v>
      </c>
    </row>
    <row r="30">
      <c r="C30" s="16" t="s">
        <v>23</v>
      </c>
      <c r="D30" s="17">
        <f t="shared" ref="D30:E30" si="10">SUM(D27:D29)</f>
        <v>1426506</v>
      </c>
      <c r="E30" s="18">
        <f t="shared" si="10"/>
        <v>1416000</v>
      </c>
      <c r="F30" s="17">
        <f t="shared" si="9"/>
        <v>-10506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</cols>
  <sheetData>
    <row r="5">
      <c r="C5" s="9" t="s">
        <v>17</v>
      </c>
      <c r="D5" s="9" t="s">
        <v>18</v>
      </c>
      <c r="E5" s="9" t="s">
        <v>5</v>
      </c>
      <c r="F5" s="9" t="s">
        <v>19</v>
      </c>
      <c r="G5" s="10"/>
      <c r="H5" s="10"/>
    </row>
    <row r="6">
      <c r="C6" s="11" t="s">
        <v>20</v>
      </c>
      <c r="D6" s="12">
        <v>320838.0</v>
      </c>
      <c r="E6" s="13">
        <v>400000.0</v>
      </c>
      <c r="F6" s="14">
        <f t="shared" ref="F6:F9" si="1">E6-D6</f>
        <v>79162</v>
      </c>
      <c r="G6" s="10"/>
      <c r="H6" s="10"/>
    </row>
    <row r="7">
      <c r="C7" s="11" t="s">
        <v>21</v>
      </c>
      <c r="D7" s="12">
        <v>45548.0</v>
      </c>
      <c r="E7" s="12">
        <v>200000.0</v>
      </c>
      <c r="F7" s="14">
        <f t="shared" si="1"/>
        <v>154452</v>
      </c>
      <c r="G7" s="10"/>
      <c r="H7" s="10"/>
    </row>
    <row r="8">
      <c r="C8" s="11" t="s">
        <v>22</v>
      </c>
      <c r="D8" s="15"/>
      <c r="E8" s="15"/>
      <c r="F8" s="14">
        <f t="shared" si="1"/>
        <v>0</v>
      </c>
      <c r="G8" s="10"/>
      <c r="H8" s="10"/>
    </row>
    <row r="9">
      <c r="C9" s="16" t="s">
        <v>23</v>
      </c>
      <c r="D9" s="17">
        <f t="shared" ref="D9:E9" si="2">SUM(D6:D8)</f>
        <v>366386</v>
      </c>
      <c r="E9" s="18">
        <f t="shared" si="2"/>
        <v>600000</v>
      </c>
      <c r="F9" s="17">
        <f t="shared" si="1"/>
        <v>233614</v>
      </c>
      <c r="G9" s="10"/>
      <c r="H9" s="10"/>
    </row>
    <row r="10">
      <c r="C10" s="10"/>
      <c r="D10" s="10"/>
      <c r="E10" s="10"/>
      <c r="F10" s="10"/>
      <c r="G10" s="10"/>
      <c r="H10" s="10"/>
    </row>
    <row r="11">
      <c r="C11" s="10"/>
      <c r="D11" s="10"/>
      <c r="E11" s="10"/>
      <c r="F11" s="10"/>
      <c r="G11" s="10"/>
      <c r="H11" s="10"/>
    </row>
    <row r="12">
      <c r="C12" s="19" t="s">
        <v>24</v>
      </c>
      <c r="D12" s="19" t="s">
        <v>25</v>
      </c>
      <c r="E12" s="19" t="s">
        <v>18</v>
      </c>
      <c r="F12" s="19" t="s">
        <v>5</v>
      </c>
      <c r="G12" s="19" t="s">
        <v>19</v>
      </c>
      <c r="H12" s="19" t="s">
        <v>27</v>
      </c>
    </row>
    <row r="13">
      <c r="C13" s="11" t="s">
        <v>20</v>
      </c>
      <c r="D13" s="12">
        <v>1000000.0</v>
      </c>
      <c r="E13" s="12">
        <v>631278.0</v>
      </c>
      <c r="F13" s="13">
        <v>600000.0</v>
      </c>
      <c r="G13" s="14">
        <f t="shared" ref="G13:G14" si="3">(F13+F6)-E13</f>
        <v>47884</v>
      </c>
      <c r="H13" s="23">
        <f t="shared" ref="H13:H15" si="4">D13-(E13+G13)</f>
        <v>320838</v>
      </c>
    </row>
    <row r="14">
      <c r="C14" s="11" t="s">
        <v>21</v>
      </c>
      <c r="D14" s="12">
        <v>550000.0</v>
      </c>
      <c r="E14" s="12">
        <v>229391.0</v>
      </c>
      <c r="F14" s="12">
        <v>200000.0</v>
      </c>
      <c r="G14" s="14">
        <f t="shared" si="3"/>
        <v>125061</v>
      </c>
      <c r="H14" s="23">
        <f t="shared" si="4"/>
        <v>195548</v>
      </c>
    </row>
    <row r="15">
      <c r="C15" s="11" t="s">
        <v>22</v>
      </c>
      <c r="D15" s="12">
        <v>600000.0</v>
      </c>
      <c r="E15" s="12">
        <v>196872.0</v>
      </c>
      <c r="F15" s="13">
        <v>300000.0</v>
      </c>
      <c r="G15" s="14">
        <f>F15-E15</f>
        <v>103128</v>
      </c>
      <c r="H15" s="23">
        <f t="shared" si="4"/>
        <v>300000</v>
      </c>
    </row>
    <row r="16">
      <c r="C16" s="16" t="s">
        <v>23</v>
      </c>
      <c r="D16" s="17">
        <f t="shared" ref="D16:F16" si="5">SUM(D13:D15)</f>
        <v>2150000</v>
      </c>
      <c r="E16" s="17">
        <f t="shared" si="5"/>
        <v>1057541</v>
      </c>
      <c r="F16" s="18">
        <f t="shared" si="5"/>
        <v>1100000</v>
      </c>
      <c r="G16" s="20">
        <f>(F16+F9)-E16</f>
        <v>276073</v>
      </c>
      <c r="H16" s="18">
        <f>sum(H13:H15)</f>
        <v>816386</v>
      </c>
    </row>
    <row r="17">
      <c r="C17" s="10"/>
      <c r="D17" s="10"/>
      <c r="E17" s="10"/>
      <c r="F17" s="10"/>
      <c r="G17" s="10"/>
      <c r="H17" s="10"/>
    </row>
    <row r="18">
      <c r="C18" s="10"/>
      <c r="D18" s="10"/>
      <c r="E18" s="10"/>
      <c r="F18" s="10"/>
      <c r="G18" s="10"/>
      <c r="H18" s="10"/>
    </row>
    <row r="19">
      <c r="C19" s="9" t="s">
        <v>26</v>
      </c>
      <c r="D19" s="9" t="s">
        <v>18</v>
      </c>
      <c r="E19" s="9" t="s">
        <v>5</v>
      </c>
      <c r="F19" s="9" t="s">
        <v>19</v>
      </c>
      <c r="G19" s="10"/>
      <c r="H19" s="10"/>
    </row>
    <row r="20">
      <c r="C20" s="11" t="s">
        <v>20</v>
      </c>
      <c r="D20" s="12">
        <v>952116.0</v>
      </c>
      <c r="E20" s="21">
        <f>E6+F13</f>
        <v>1000000</v>
      </c>
      <c r="F20" s="14">
        <f t="shared" ref="F20:F23" si="7">E20-D20</f>
        <v>47884</v>
      </c>
      <c r="G20" s="10"/>
      <c r="H20" s="10"/>
    </row>
    <row r="21">
      <c r="C21" s="11" t="s">
        <v>21</v>
      </c>
      <c r="D21" s="14">
        <f t="shared" ref="D21:E21" si="6">D7+E14</f>
        <v>274939</v>
      </c>
      <c r="E21" s="21">
        <f t="shared" si="6"/>
        <v>400000</v>
      </c>
      <c r="F21" s="14">
        <f t="shared" si="7"/>
        <v>125061</v>
      </c>
      <c r="G21" s="10"/>
      <c r="H21" s="10"/>
    </row>
    <row r="22">
      <c r="C22" s="11" t="s">
        <v>22</v>
      </c>
      <c r="D22" s="14">
        <f>D8+E15</f>
        <v>196872</v>
      </c>
      <c r="E22" s="13">
        <v>300000.0</v>
      </c>
      <c r="F22" s="14">
        <f t="shared" si="7"/>
        <v>103128</v>
      </c>
      <c r="G22" s="10"/>
      <c r="H22" s="10"/>
    </row>
    <row r="23">
      <c r="C23" s="16" t="s">
        <v>23</v>
      </c>
      <c r="D23" s="17">
        <f t="shared" ref="D23:E23" si="8">SUM(D20:D22)</f>
        <v>1423927</v>
      </c>
      <c r="E23" s="18">
        <f t="shared" si="8"/>
        <v>1700000</v>
      </c>
      <c r="F23" s="17">
        <f t="shared" si="7"/>
        <v>276073</v>
      </c>
      <c r="G23" s="10"/>
      <c r="H23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4.13"/>
    <col customWidth="1" min="11" max="11" width="14.63"/>
  </cols>
  <sheetData>
    <row r="7">
      <c r="D7" s="24" t="s">
        <v>17</v>
      </c>
      <c r="E7" s="24" t="s">
        <v>18</v>
      </c>
      <c r="F7" s="24" t="s">
        <v>5</v>
      </c>
      <c r="G7" s="24" t="s">
        <v>19</v>
      </c>
      <c r="H7" s="10"/>
      <c r="I7" s="10"/>
    </row>
    <row r="8">
      <c r="D8" s="11" t="s">
        <v>20</v>
      </c>
      <c r="E8" s="12">
        <v>320838.0</v>
      </c>
      <c r="F8" s="13">
        <v>400000.0</v>
      </c>
      <c r="G8" s="14">
        <f t="shared" ref="G8:G11" si="1">F8-E8</f>
        <v>79162</v>
      </c>
      <c r="H8" s="10"/>
      <c r="I8" s="10"/>
    </row>
    <row r="9">
      <c r="D9" s="11" t="s">
        <v>21</v>
      </c>
      <c r="E9" s="12">
        <v>45548.0</v>
      </c>
      <c r="F9" s="12">
        <v>200000.0</v>
      </c>
      <c r="G9" s="14">
        <f t="shared" si="1"/>
        <v>154452</v>
      </c>
      <c r="H9" s="10"/>
      <c r="I9" s="10"/>
    </row>
    <row r="10">
      <c r="D10" s="11" t="s">
        <v>22</v>
      </c>
      <c r="E10" s="15"/>
      <c r="F10" s="15"/>
      <c r="G10" s="14">
        <f t="shared" si="1"/>
        <v>0</v>
      </c>
      <c r="H10" s="10"/>
      <c r="I10" s="10"/>
    </row>
    <row r="11">
      <c r="D11" s="16" t="s">
        <v>23</v>
      </c>
      <c r="E11" s="17">
        <f t="shared" ref="E11:F11" si="2">SUM(E8:E10)</f>
        <v>366386</v>
      </c>
      <c r="F11" s="18">
        <f t="shared" si="2"/>
        <v>600000</v>
      </c>
      <c r="G11" s="17">
        <f t="shared" si="1"/>
        <v>233614</v>
      </c>
      <c r="H11" s="10"/>
      <c r="I11" s="10"/>
    </row>
    <row r="12">
      <c r="D12" s="10"/>
      <c r="E12" s="10"/>
      <c r="F12" s="10"/>
      <c r="G12" s="10"/>
      <c r="H12" s="10"/>
      <c r="I12" s="10"/>
    </row>
    <row r="13">
      <c r="D13" s="10"/>
      <c r="E13" s="10"/>
      <c r="F13" s="10"/>
      <c r="G13" s="10"/>
      <c r="H13" s="10"/>
      <c r="I13" s="10"/>
    </row>
    <row r="14">
      <c r="D14" s="25" t="s">
        <v>24</v>
      </c>
      <c r="E14" s="25" t="s">
        <v>25</v>
      </c>
      <c r="F14" s="25" t="s">
        <v>18</v>
      </c>
      <c r="G14" s="25" t="s">
        <v>5</v>
      </c>
      <c r="H14" s="25" t="s">
        <v>19</v>
      </c>
      <c r="I14" s="25" t="s">
        <v>27</v>
      </c>
      <c r="J14" s="26" t="s">
        <v>28</v>
      </c>
    </row>
    <row r="15">
      <c r="D15" s="11" t="s">
        <v>20</v>
      </c>
      <c r="E15" s="12">
        <v>1000000.0</v>
      </c>
      <c r="F15" s="12">
        <v>631278.0</v>
      </c>
      <c r="G15" s="13">
        <f>600000+240000</f>
        <v>840000</v>
      </c>
      <c r="H15" s="14">
        <f t="shared" ref="H15:H16" si="3">(G15+G8)-F15</f>
        <v>287884</v>
      </c>
      <c r="I15" s="23">
        <f t="shared" ref="I15:I17" si="4">E15-(F15+H15)</f>
        <v>80838</v>
      </c>
      <c r="J15" s="27">
        <f t="shared" ref="J15:J17" si="5">H15/8</f>
        <v>35985.5</v>
      </c>
    </row>
    <row r="16">
      <c r="D16" s="11" t="s">
        <v>21</v>
      </c>
      <c r="E16" s="12">
        <v>550000.0</v>
      </c>
      <c r="F16" s="12">
        <v>229391.0</v>
      </c>
      <c r="G16" s="12">
        <f>200000+130000</f>
        <v>330000</v>
      </c>
      <c r="H16" s="14">
        <f t="shared" si="3"/>
        <v>255061</v>
      </c>
      <c r="I16" s="23">
        <f t="shared" si="4"/>
        <v>65548</v>
      </c>
      <c r="J16" s="28">
        <f t="shared" si="5"/>
        <v>31882.625</v>
      </c>
    </row>
    <row r="17">
      <c r="D17" s="11" t="s">
        <v>22</v>
      </c>
      <c r="E17" s="12">
        <v>600000.0</v>
      </c>
      <c r="F17" s="12">
        <v>196872.0</v>
      </c>
      <c r="G17" s="13">
        <f>300000+240000</f>
        <v>540000</v>
      </c>
      <c r="H17" s="14">
        <f>G17-F17</f>
        <v>343128</v>
      </c>
      <c r="I17" s="23">
        <f t="shared" si="4"/>
        <v>60000</v>
      </c>
      <c r="J17" s="29">
        <f t="shared" si="5"/>
        <v>42891</v>
      </c>
    </row>
    <row r="18">
      <c r="D18" s="16" t="s">
        <v>23</v>
      </c>
      <c r="E18" s="17">
        <f t="shared" ref="E18:G18" si="6">SUM(E15:E17)</f>
        <v>2150000</v>
      </c>
      <c r="F18" s="17">
        <f t="shared" si="6"/>
        <v>1057541</v>
      </c>
      <c r="G18" s="18">
        <f t="shared" si="6"/>
        <v>1710000</v>
      </c>
      <c r="H18" s="20">
        <f>(G18+G11)-F18</f>
        <v>886073</v>
      </c>
      <c r="I18" s="18">
        <f t="shared" ref="I18:J18" si="7">sum(I15:I17)</f>
        <v>206386</v>
      </c>
      <c r="J18" s="18">
        <f t="shared" si="7"/>
        <v>110759.125</v>
      </c>
    </row>
    <row r="19">
      <c r="D19" s="10"/>
      <c r="E19" s="10"/>
      <c r="F19" s="10"/>
      <c r="G19" s="10"/>
      <c r="H19" s="10"/>
      <c r="I19" s="10"/>
    </row>
    <row r="20">
      <c r="D20" s="10"/>
      <c r="E20" s="10"/>
      <c r="F20" s="10"/>
      <c r="G20" s="10"/>
      <c r="H20" s="10"/>
      <c r="I20" s="10"/>
    </row>
    <row r="21">
      <c r="D21" s="24" t="s">
        <v>26</v>
      </c>
      <c r="E21" s="24" t="s">
        <v>18</v>
      </c>
      <c r="F21" s="24" t="s">
        <v>5</v>
      </c>
      <c r="G21" s="24" t="s">
        <v>19</v>
      </c>
      <c r="H21" s="10"/>
      <c r="I21" s="10"/>
    </row>
    <row r="22">
      <c r="D22" s="11" t="s">
        <v>20</v>
      </c>
      <c r="E22" s="12">
        <v>952116.0</v>
      </c>
      <c r="F22" s="21">
        <f>F8+G15</f>
        <v>1240000</v>
      </c>
      <c r="G22" s="14">
        <f t="shared" ref="G22:G25" si="9">F22-E22</f>
        <v>287884</v>
      </c>
      <c r="H22" s="10"/>
      <c r="I22" s="10"/>
    </row>
    <row r="23">
      <c r="D23" s="11" t="s">
        <v>21</v>
      </c>
      <c r="E23" s="14">
        <f t="shared" ref="E23:F23" si="8">E9+F16</f>
        <v>274939</v>
      </c>
      <c r="F23" s="21">
        <f t="shared" si="8"/>
        <v>530000</v>
      </c>
      <c r="G23" s="14">
        <f t="shared" si="9"/>
        <v>255061</v>
      </c>
      <c r="H23" s="10"/>
      <c r="I23" s="10"/>
    </row>
    <row r="24">
      <c r="D24" s="11" t="s">
        <v>22</v>
      </c>
      <c r="E24" s="14">
        <f>E10+F17</f>
        <v>196872</v>
      </c>
      <c r="F24" s="13">
        <f>G17</f>
        <v>540000</v>
      </c>
      <c r="G24" s="14">
        <f t="shared" si="9"/>
        <v>343128</v>
      </c>
      <c r="H24" s="10"/>
      <c r="I24" s="10"/>
    </row>
    <row r="25">
      <c r="D25" s="16" t="s">
        <v>23</v>
      </c>
      <c r="E25" s="17">
        <f t="shared" ref="E25:F25" si="10">SUM(E22:E24)</f>
        <v>1423927</v>
      </c>
      <c r="F25" s="18">
        <f t="shared" si="10"/>
        <v>2310000</v>
      </c>
      <c r="G25" s="17">
        <f t="shared" si="9"/>
        <v>886073</v>
      </c>
      <c r="H25" s="10"/>
      <c r="I25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4.13"/>
    <col customWidth="1" min="11" max="11" width="14.63"/>
  </cols>
  <sheetData>
    <row r="7">
      <c r="D7" s="24" t="s">
        <v>17</v>
      </c>
      <c r="E7" s="24" t="s">
        <v>18</v>
      </c>
      <c r="F7" s="24" t="s">
        <v>5</v>
      </c>
      <c r="G7" s="24" t="s">
        <v>19</v>
      </c>
      <c r="H7" s="10"/>
      <c r="I7" s="10"/>
    </row>
    <row r="8">
      <c r="D8" s="11" t="s">
        <v>20</v>
      </c>
      <c r="E8" s="12">
        <v>320838.0</v>
      </c>
      <c r="F8" s="13">
        <v>400000.0</v>
      </c>
      <c r="G8" s="14">
        <f t="shared" ref="G8:G11" si="1">F8-E8</f>
        <v>79162</v>
      </c>
      <c r="H8" s="10"/>
      <c r="I8" s="10"/>
    </row>
    <row r="9">
      <c r="D9" s="11" t="s">
        <v>21</v>
      </c>
      <c r="E9" s="12">
        <v>45548.0</v>
      </c>
      <c r="F9" s="12">
        <v>200000.0</v>
      </c>
      <c r="G9" s="14">
        <f t="shared" si="1"/>
        <v>154452</v>
      </c>
      <c r="H9" s="10"/>
      <c r="I9" s="10"/>
    </row>
    <row r="10">
      <c r="D10" s="11" t="s">
        <v>22</v>
      </c>
      <c r="E10" s="15"/>
      <c r="F10" s="15"/>
      <c r="G10" s="14">
        <f t="shared" si="1"/>
        <v>0</v>
      </c>
      <c r="H10" s="10"/>
      <c r="I10" s="10"/>
    </row>
    <row r="11">
      <c r="D11" s="16" t="s">
        <v>23</v>
      </c>
      <c r="E11" s="17">
        <f t="shared" ref="E11:F11" si="2">SUM(E8:E10)</f>
        <v>366386</v>
      </c>
      <c r="F11" s="18">
        <f t="shared" si="2"/>
        <v>600000</v>
      </c>
      <c r="G11" s="17">
        <f t="shared" si="1"/>
        <v>233614</v>
      </c>
      <c r="H11" s="10"/>
      <c r="I11" s="10"/>
    </row>
    <row r="12">
      <c r="D12" s="10"/>
      <c r="E12" s="10"/>
      <c r="F12" s="10"/>
      <c r="G12" s="10"/>
      <c r="H12" s="10"/>
      <c r="I12" s="10"/>
    </row>
    <row r="13">
      <c r="D13" s="10"/>
      <c r="E13" s="10"/>
      <c r="F13" s="10"/>
      <c r="G13" s="10"/>
      <c r="H13" s="10"/>
      <c r="I13" s="10"/>
    </row>
    <row r="14">
      <c r="D14" s="25" t="s">
        <v>24</v>
      </c>
      <c r="E14" s="25" t="s">
        <v>25</v>
      </c>
      <c r="F14" s="25" t="s">
        <v>18</v>
      </c>
      <c r="G14" s="25" t="s">
        <v>5</v>
      </c>
      <c r="H14" s="25" t="s">
        <v>19</v>
      </c>
      <c r="I14" s="25" t="s">
        <v>27</v>
      </c>
      <c r="J14" s="26" t="s">
        <v>28</v>
      </c>
    </row>
    <row r="15">
      <c r="D15" s="11" t="s">
        <v>20</v>
      </c>
      <c r="E15" s="12">
        <v>1000000.0</v>
      </c>
      <c r="F15" s="12">
        <v>766146.0</v>
      </c>
      <c r="G15" s="13">
        <v>840000.0</v>
      </c>
      <c r="H15" s="14">
        <f t="shared" ref="H15:H16" si="3">(G15+G8)-F15</f>
        <v>153016</v>
      </c>
      <c r="I15" s="23">
        <f t="shared" ref="I15:I17" si="4">E15-(F15+H15)</f>
        <v>80838</v>
      </c>
      <c r="J15" s="27">
        <f t="shared" ref="J15:J17" si="5">H15/5</f>
        <v>30603.2</v>
      </c>
    </row>
    <row r="16">
      <c r="D16" s="11" t="s">
        <v>21</v>
      </c>
      <c r="E16" s="12">
        <v>550000.0</v>
      </c>
      <c r="F16" s="12">
        <v>323431.0</v>
      </c>
      <c r="G16" s="12">
        <v>330000.0</v>
      </c>
      <c r="H16" s="14">
        <f t="shared" si="3"/>
        <v>161021</v>
      </c>
      <c r="I16" s="23">
        <f t="shared" si="4"/>
        <v>65548</v>
      </c>
      <c r="J16" s="28">
        <f t="shared" si="5"/>
        <v>32204.2</v>
      </c>
    </row>
    <row r="17">
      <c r="D17" s="11" t="s">
        <v>22</v>
      </c>
      <c r="E17" s="12">
        <v>600000.0</v>
      </c>
      <c r="F17" s="12">
        <v>429622.0</v>
      </c>
      <c r="G17" s="13">
        <v>540000.0</v>
      </c>
      <c r="H17" s="14">
        <f>G17-F17</f>
        <v>110378</v>
      </c>
      <c r="I17" s="23">
        <f t="shared" si="4"/>
        <v>60000</v>
      </c>
      <c r="J17" s="29">
        <f t="shared" si="5"/>
        <v>22075.6</v>
      </c>
    </row>
    <row r="18">
      <c r="D18" s="16" t="s">
        <v>23</v>
      </c>
      <c r="E18" s="17">
        <f t="shared" ref="E18:G18" si="6">SUM(E15:E17)</f>
        <v>2150000</v>
      </c>
      <c r="F18" s="17">
        <f t="shared" si="6"/>
        <v>1519199</v>
      </c>
      <c r="G18" s="18">
        <f t="shared" si="6"/>
        <v>1710000</v>
      </c>
      <c r="H18" s="20">
        <f>(G18+G11)-F18</f>
        <v>424415</v>
      </c>
      <c r="I18" s="18">
        <f t="shared" ref="I18:J18" si="7">sum(I15:I17)</f>
        <v>206386</v>
      </c>
      <c r="J18" s="18">
        <f t="shared" si="7"/>
        <v>84883</v>
      </c>
    </row>
    <row r="19">
      <c r="D19" s="10"/>
      <c r="E19" s="10"/>
      <c r="F19" s="10"/>
      <c r="G19" s="10"/>
      <c r="H19" s="10"/>
      <c r="I19" s="10"/>
    </row>
    <row r="20">
      <c r="D20" s="10"/>
      <c r="E20" s="10"/>
      <c r="F20" s="10"/>
      <c r="G20" s="10"/>
      <c r="H20" s="10"/>
      <c r="I20" s="10"/>
    </row>
    <row r="21">
      <c r="D21" s="24" t="s">
        <v>26</v>
      </c>
      <c r="E21" s="24" t="s">
        <v>18</v>
      </c>
      <c r="F21" s="24" t="s">
        <v>5</v>
      </c>
      <c r="G21" s="24" t="s">
        <v>19</v>
      </c>
      <c r="H21" s="10"/>
      <c r="I21" s="10"/>
    </row>
    <row r="22">
      <c r="D22" s="11" t="s">
        <v>20</v>
      </c>
      <c r="E22" s="12">
        <v>952116.0</v>
      </c>
      <c r="F22" s="21">
        <f>F8+G15</f>
        <v>1240000</v>
      </c>
      <c r="G22" s="14">
        <f t="shared" ref="G22:G25" si="9">F22-E22</f>
        <v>287884</v>
      </c>
      <c r="H22" s="10"/>
      <c r="I22" s="10"/>
    </row>
    <row r="23">
      <c r="D23" s="11" t="s">
        <v>21</v>
      </c>
      <c r="E23" s="14">
        <f t="shared" ref="E23:F23" si="8">E9+F16</f>
        <v>368979</v>
      </c>
      <c r="F23" s="21">
        <f t="shared" si="8"/>
        <v>530000</v>
      </c>
      <c r="G23" s="14">
        <f t="shared" si="9"/>
        <v>161021</v>
      </c>
      <c r="H23" s="10"/>
      <c r="I23" s="10"/>
    </row>
    <row r="24">
      <c r="D24" s="11" t="s">
        <v>22</v>
      </c>
      <c r="E24" s="14">
        <f>E10+F17</f>
        <v>429622</v>
      </c>
      <c r="F24" s="13">
        <f>G17</f>
        <v>540000</v>
      </c>
      <c r="G24" s="14">
        <f t="shared" si="9"/>
        <v>110378</v>
      </c>
      <c r="H24" s="10"/>
      <c r="I24" s="10"/>
    </row>
    <row r="25">
      <c r="D25" s="16" t="s">
        <v>23</v>
      </c>
      <c r="E25" s="17">
        <f t="shared" ref="E25:F25" si="10">SUM(E22:E24)</f>
        <v>1750717</v>
      </c>
      <c r="F25" s="18">
        <f t="shared" si="10"/>
        <v>2310000</v>
      </c>
      <c r="G25" s="17">
        <f t="shared" si="9"/>
        <v>559283</v>
      </c>
      <c r="H25" s="10"/>
      <c r="I25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63"/>
  </cols>
  <sheetData>
    <row r="7">
      <c r="D7" s="24" t="s">
        <v>17</v>
      </c>
      <c r="E7" s="24" t="s">
        <v>18</v>
      </c>
      <c r="F7" s="24" t="s">
        <v>5</v>
      </c>
      <c r="G7" s="24" t="s">
        <v>19</v>
      </c>
      <c r="H7" s="10"/>
    </row>
    <row r="8">
      <c r="D8" s="11" t="s">
        <v>20</v>
      </c>
      <c r="E8" s="12">
        <v>349841.0</v>
      </c>
      <c r="F8" s="13">
        <v>400000.0</v>
      </c>
      <c r="G8" s="14">
        <f t="shared" ref="G8:G11" si="1">F8-E8</f>
        <v>50159</v>
      </c>
      <c r="H8" s="10"/>
    </row>
    <row r="9">
      <c r="D9" s="11" t="s">
        <v>21</v>
      </c>
      <c r="E9" s="12">
        <v>45548.0</v>
      </c>
      <c r="F9" s="12">
        <v>200000.0</v>
      </c>
      <c r="G9" s="14">
        <f t="shared" si="1"/>
        <v>154452</v>
      </c>
      <c r="H9" s="10"/>
    </row>
    <row r="10">
      <c r="D10" s="11" t="s">
        <v>22</v>
      </c>
      <c r="E10" s="15"/>
      <c r="F10" s="15"/>
      <c r="G10" s="14">
        <f t="shared" si="1"/>
        <v>0</v>
      </c>
      <c r="H10" s="10"/>
    </row>
    <row r="11">
      <c r="D11" s="16" t="s">
        <v>23</v>
      </c>
      <c r="E11" s="17">
        <f t="shared" ref="E11:F11" si="2">SUM(E8:E10)</f>
        <v>395389</v>
      </c>
      <c r="F11" s="18">
        <f t="shared" si="2"/>
        <v>600000</v>
      </c>
      <c r="G11" s="17">
        <f t="shared" si="1"/>
        <v>204611</v>
      </c>
      <c r="H11" s="10"/>
    </row>
    <row r="12">
      <c r="D12" s="10"/>
      <c r="E12" s="10"/>
      <c r="F12" s="10"/>
      <c r="G12" s="10"/>
      <c r="H12" s="10"/>
    </row>
    <row r="13">
      <c r="D13" s="10"/>
      <c r="E13" s="10"/>
      <c r="F13" s="10"/>
      <c r="G13" s="10"/>
      <c r="H13" s="10"/>
    </row>
    <row r="14">
      <c r="D14" s="25" t="s">
        <v>24</v>
      </c>
      <c r="E14" s="25" t="s">
        <v>25</v>
      </c>
      <c r="F14" s="25" t="s">
        <v>18</v>
      </c>
      <c r="G14" s="25" t="s">
        <v>5</v>
      </c>
      <c r="H14" s="25" t="s">
        <v>19</v>
      </c>
    </row>
    <row r="15">
      <c r="D15" s="11" t="s">
        <v>20</v>
      </c>
      <c r="E15" s="12">
        <v>1000000.0</v>
      </c>
      <c r="F15" s="12">
        <f>662880.53+263249.6</f>
        <v>926130.13</v>
      </c>
      <c r="G15" s="13">
        <v>840000.0</v>
      </c>
      <c r="H15" s="14">
        <f t="shared" ref="H15:H16" si="3">(G15+G8)-F15</f>
        <v>-35971.13</v>
      </c>
    </row>
    <row r="16">
      <c r="D16" s="11" t="s">
        <v>21</v>
      </c>
      <c r="E16" s="12">
        <v>550000.0</v>
      </c>
      <c r="F16" s="12">
        <f>295457.77+56043.79</f>
        <v>351501.56</v>
      </c>
      <c r="G16" s="12">
        <v>330000.0</v>
      </c>
      <c r="H16" s="14">
        <f t="shared" si="3"/>
        <v>132950.44</v>
      </c>
    </row>
    <row r="17">
      <c r="D17" s="11" t="s">
        <v>22</v>
      </c>
      <c r="E17" s="12">
        <v>600000.0</v>
      </c>
      <c r="F17" s="12">
        <f>460311.1+6899.22</f>
        <v>467210.32</v>
      </c>
      <c r="G17" s="13">
        <v>540000.0</v>
      </c>
      <c r="H17" s="14">
        <f>G17-F17</f>
        <v>72789.68</v>
      </c>
    </row>
    <row r="18">
      <c r="D18" s="16" t="s">
        <v>23</v>
      </c>
      <c r="E18" s="17">
        <f t="shared" ref="E18:G18" si="4">SUM(E15:E17)</f>
        <v>2150000</v>
      </c>
      <c r="F18" s="17">
        <f t="shared" si="4"/>
        <v>1744842.01</v>
      </c>
      <c r="G18" s="18">
        <f t="shared" si="4"/>
        <v>1710000</v>
      </c>
      <c r="H18" s="20">
        <f>(G18+G11)-F18</f>
        <v>169768.99</v>
      </c>
    </row>
    <row r="19">
      <c r="D19" s="10"/>
      <c r="E19" s="10"/>
      <c r="F19" s="10"/>
      <c r="G19" s="10"/>
      <c r="H19" s="10"/>
    </row>
    <row r="20">
      <c r="D20" s="10"/>
      <c r="E20" s="10"/>
      <c r="F20" s="10"/>
      <c r="G20" s="10"/>
      <c r="H20" s="10"/>
    </row>
    <row r="21">
      <c r="D21" s="30" t="s">
        <v>29</v>
      </c>
      <c r="E21" s="24" t="s">
        <v>18</v>
      </c>
      <c r="F21" s="24" t="s">
        <v>5</v>
      </c>
      <c r="H21" s="10"/>
    </row>
    <row r="22">
      <c r="D22" s="11" t="s">
        <v>20</v>
      </c>
      <c r="E22" s="12">
        <v>401052.0</v>
      </c>
      <c r="F22" s="13">
        <v>500000.0</v>
      </c>
      <c r="H22" s="10"/>
    </row>
    <row r="23">
      <c r="D23" s="11" t="s">
        <v>21</v>
      </c>
      <c r="E23" s="12">
        <v>175498.0</v>
      </c>
      <c r="F23" s="13"/>
      <c r="H23" s="10"/>
    </row>
    <row r="24">
      <c r="D24" s="11" t="s">
        <v>22</v>
      </c>
      <c r="E24" s="12">
        <v>167625.0</v>
      </c>
      <c r="F24" s="13">
        <v>227210.0</v>
      </c>
      <c r="H24" s="10"/>
    </row>
    <row r="25">
      <c r="D25" s="16" t="s">
        <v>23</v>
      </c>
      <c r="E25" s="17">
        <f t="shared" ref="E25:F25" si="5">SUM(E22:E24)</f>
        <v>744175</v>
      </c>
      <c r="F25" s="18">
        <f t="shared" si="5"/>
        <v>727210</v>
      </c>
      <c r="H25" s="10"/>
    </row>
    <row r="28">
      <c r="D28" s="24" t="s">
        <v>26</v>
      </c>
      <c r="E28" s="24" t="s">
        <v>18</v>
      </c>
      <c r="F28" s="24" t="s">
        <v>5</v>
      </c>
      <c r="G28" s="24" t="s">
        <v>19</v>
      </c>
    </row>
    <row r="29">
      <c r="D29" s="11" t="s">
        <v>20</v>
      </c>
      <c r="E29" s="12">
        <f t="shared" ref="E29:F29" si="6">E8+F15+E22</f>
        <v>1677023.13</v>
      </c>
      <c r="F29" s="21">
        <f t="shared" si="6"/>
        <v>1740000</v>
      </c>
      <c r="G29" s="14">
        <f t="shared" ref="G29:G32" si="7">F29-E29</f>
        <v>62976.87</v>
      </c>
    </row>
    <row r="30">
      <c r="D30" s="11" t="s">
        <v>21</v>
      </c>
      <c r="E30" s="14">
        <f t="shared" ref="E30:E31" si="8">E9+F16+E23</f>
        <v>572547.56</v>
      </c>
      <c r="F30" s="21">
        <f>F9+G16+F54</f>
        <v>530000</v>
      </c>
      <c r="G30" s="14">
        <f t="shared" si="7"/>
        <v>-42547.56</v>
      </c>
    </row>
    <row r="31">
      <c r="D31" s="11" t="s">
        <v>22</v>
      </c>
      <c r="E31" s="14">
        <f t="shared" si="8"/>
        <v>634835.32</v>
      </c>
      <c r="F31" s="13">
        <f>F10+G17+F24</f>
        <v>767210</v>
      </c>
      <c r="G31" s="14">
        <f t="shared" si="7"/>
        <v>132374.68</v>
      </c>
    </row>
    <row r="32">
      <c r="D32" s="16" t="s">
        <v>23</v>
      </c>
      <c r="E32" s="17">
        <f t="shared" ref="E32:F32" si="9">SUM(E29:E31)</f>
        <v>2884406.01</v>
      </c>
      <c r="F32" s="18">
        <f t="shared" si="9"/>
        <v>3037210</v>
      </c>
      <c r="G32" s="17">
        <f t="shared" si="7"/>
        <v>152803.99</v>
      </c>
    </row>
    <row r="34">
      <c r="D34" s="31" t="s">
        <v>30</v>
      </c>
      <c r="E34" s="32" t="s">
        <v>31</v>
      </c>
      <c r="F34" s="33"/>
      <c r="G34" s="34"/>
      <c r="H34" s="32" t="s">
        <v>32</v>
      </c>
      <c r="I34" s="33"/>
      <c r="J34" s="34"/>
      <c r="K34" s="32" t="s">
        <v>26</v>
      </c>
      <c r="L34" s="33"/>
      <c r="M34" s="34"/>
      <c r="N34" s="31" t="s">
        <v>33</v>
      </c>
      <c r="O34" s="31" t="s">
        <v>34</v>
      </c>
    </row>
    <row r="35">
      <c r="D35" s="35"/>
      <c r="E35" s="25" t="s">
        <v>18</v>
      </c>
      <c r="F35" s="36" t="s">
        <v>35</v>
      </c>
      <c r="G35" s="36" t="s">
        <v>36</v>
      </c>
      <c r="H35" s="25" t="s">
        <v>18</v>
      </c>
      <c r="I35" s="36" t="s">
        <v>35</v>
      </c>
      <c r="J35" s="36" t="s">
        <v>36</v>
      </c>
      <c r="K35" s="25" t="s">
        <v>18</v>
      </c>
      <c r="L35" s="36" t="s">
        <v>35</v>
      </c>
      <c r="M35" s="36" t="s">
        <v>36</v>
      </c>
      <c r="N35" s="35"/>
      <c r="O35" s="35"/>
    </row>
    <row r="36">
      <c r="D36" s="37" t="s">
        <v>0</v>
      </c>
      <c r="E36" s="38">
        <v>944109.0</v>
      </c>
      <c r="F36" s="13">
        <v>2320.0</v>
      </c>
      <c r="G36" s="14">
        <f t="shared" ref="G36:G39" si="11">E36/F36</f>
        <v>406.9435345</v>
      </c>
      <c r="H36" s="38">
        <v>374747.0</v>
      </c>
      <c r="I36" s="13">
        <v>390.0</v>
      </c>
      <c r="J36" s="14">
        <f t="shared" ref="J36:J37" si="12">H36/I36</f>
        <v>960.8897436</v>
      </c>
      <c r="K36" s="12">
        <f t="shared" ref="K36:L36" si="10">E36+H36</f>
        <v>1318856</v>
      </c>
      <c r="L36" s="21">
        <f t="shared" si="10"/>
        <v>2710</v>
      </c>
      <c r="M36" s="14">
        <f t="shared" ref="M36:M39" si="14">K36/L36</f>
        <v>486.6627306</v>
      </c>
      <c r="N36" s="37">
        <v>165.0</v>
      </c>
      <c r="O36" s="39">
        <f t="shared" ref="O36:O39" si="15">K36/N36</f>
        <v>7993.066667</v>
      </c>
    </row>
    <row r="37">
      <c r="D37" s="37" t="s">
        <v>37</v>
      </c>
      <c r="E37" s="12">
        <v>340313.0</v>
      </c>
      <c r="F37" s="13">
        <v>255.0</v>
      </c>
      <c r="G37" s="14">
        <f t="shared" si="11"/>
        <v>1334.560784</v>
      </c>
      <c r="H37" s="12">
        <v>72689.0</v>
      </c>
      <c r="I37" s="13">
        <v>54.0</v>
      </c>
      <c r="J37" s="14">
        <f t="shared" si="12"/>
        <v>1346.092593</v>
      </c>
      <c r="K37" s="12">
        <f t="shared" ref="K37:L37" si="13">E37+H37</f>
        <v>413002</v>
      </c>
      <c r="L37" s="21">
        <f t="shared" si="13"/>
        <v>309</v>
      </c>
      <c r="M37" s="14">
        <f t="shared" si="14"/>
        <v>1336.576052</v>
      </c>
      <c r="N37" s="37">
        <v>8.0</v>
      </c>
      <c r="O37" s="39">
        <f t="shared" si="15"/>
        <v>51625.25</v>
      </c>
    </row>
    <row r="38">
      <c r="D38" s="37" t="s">
        <v>38</v>
      </c>
      <c r="E38" s="12">
        <v>481726.0</v>
      </c>
      <c r="F38" s="13">
        <v>233.0</v>
      </c>
      <c r="G38" s="14">
        <f t="shared" si="11"/>
        <v>2067.493562</v>
      </c>
      <c r="H38" s="12">
        <v>9610.0</v>
      </c>
      <c r="I38" s="13"/>
      <c r="J38" s="14"/>
      <c r="K38" s="12">
        <f t="shared" ref="K38:L38" si="16">E38+H38</f>
        <v>491336</v>
      </c>
      <c r="L38" s="21">
        <f t="shared" si="16"/>
        <v>233</v>
      </c>
      <c r="M38" s="14">
        <f t="shared" si="14"/>
        <v>2108.738197</v>
      </c>
      <c r="N38" s="37">
        <v>1.0</v>
      </c>
      <c r="O38" s="39">
        <f t="shared" si="15"/>
        <v>491336</v>
      </c>
    </row>
    <row r="39">
      <c r="D39" s="16" t="s">
        <v>23</v>
      </c>
      <c r="E39" s="17">
        <f t="shared" ref="E39:F39" si="17">SUM(E36:E38)</f>
        <v>1766148</v>
      </c>
      <c r="F39" s="18">
        <f t="shared" si="17"/>
        <v>2808</v>
      </c>
      <c r="G39" s="40">
        <f t="shared" si="11"/>
        <v>628.9700855</v>
      </c>
      <c r="H39" s="17">
        <f t="shared" ref="H39:I39" si="18">SUM(H36:H38)</f>
        <v>457046</v>
      </c>
      <c r="I39" s="18">
        <f t="shared" si="18"/>
        <v>444</v>
      </c>
      <c r="J39" s="40">
        <f>H39/I39</f>
        <v>1029.382883</v>
      </c>
      <c r="K39" s="41">
        <f t="shared" ref="K39:L39" si="19">E39+H39</f>
        <v>2223194</v>
      </c>
      <c r="L39" s="40">
        <f t="shared" si="19"/>
        <v>3252</v>
      </c>
      <c r="M39" s="40">
        <f t="shared" si="14"/>
        <v>683.6389914</v>
      </c>
      <c r="N39" s="16">
        <f>sum(N36:N38)</f>
        <v>174</v>
      </c>
      <c r="O39" s="42">
        <f t="shared" si="15"/>
        <v>12776.97701</v>
      </c>
    </row>
    <row r="45">
      <c r="M45" s="6" t="s">
        <v>39</v>
      </c>
    </row>
  </sheetData>
  <mergeCells count="6">
    <mergeCell ref="D34:D35"/>
    <mergeCell ref="E34:G34"/>
    <mergeCell ref="H34:J34"/>
    <mergeCell ref="K34:M34"/>
    <mergeCell ref="N34:N35"/>
    <mergeCell ref="O34:O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63"/>
  </cols>
  <sheetData>
    <row r="7">
      <c r="D7" s="24" t="s">
        <v>17</v>
      </c>
      <c r="E7" s="24" t="s">
        <v>18</v>
      </c>
      <c r="F7" s="24" t="s">
        <v>5</v>
      </c>
      <c r="G7" s="24" t="s">
        <v>19</v>
      </c>
      <c r="H7" s="10"/>
    </row>
    <row r="8">
      <c r="D8" s="11" t="s">
        <v>20</v>
      </c>
      <c r="E8" s="12">
        <v>349841.0</v>
      </c>
      <c r="F8" s="13">
        <v>400000.0</v>
      </c>
      <c r="G8" s="14">
        <f t="shared" ref="G8:G11" si="1">F8-E8</f>
        <v>50159</v>
      </c>
      <c r="H8" s="10"/>
    </row>
    <row r="9">
      <c r="D9" s="11" t="s">
        <v>21</v>
      </c>
      <c r="E9" s="12">
        <v>45548.0</v>
      </c>
      <c r="F9" s="12">
        <v>200000.0</v>
      </c>
      <c r="G9" s="14">
        <f t="shared" si="1"/>
        <v>154452</v>
      </c>
      <c r="H9" s="10"/>
    </row>
    <row r="10">
      <c r="D10" s="11" t="s">
        <v>22</v>
      </c>
      <c r="E10" s="15"/>
      <c r="F10" s="15"/>
      <c r="G10" s="14">
        <f t="shared" si="1"/>
        <v>0</v>
      </c>
      <c r="H10" s="10"/>
    </row>
    <row r="11">
      <c r="D11" s="16" t="s">
        <v>23</v>
      </c>
      <c r="E11" s="17">
        <f t="shared" ref="E11:F11" si="2">SUM(E8:E10)</f>
        <v>395389</v>
      </c>
      <c r="F11" s="18">
        <f t="shared" si="2"/>
        <v>600000</v>
      </c>
      <c r="G11" s="17">
        <f t="shared" si="1"/>
        <v>204611</v>
      </c>
      <c r="H11" s="10"/>
    </row>
    <row r="12">
      <c r="D12" s="10"/>
      <c r="E12" s="10"/>
      <c r="F12" s="10"/>
      <c r="G12" s="10"/>
      <c r="H12" s="10"/>
    </row>
    <row r="13">
      <c r="D13" s="10"/>
      <c r="E13" s="10"/>
      <c r="F13" s="10"/>
      <c r="G13" s="10"/>
      <c r="H13" s="10"/>
    </row>
    <row r="14">
      <c r="D14" s="25" t="s">
        <v>24</v>
      </c>
      <c r="E14" s="25" t="s">
        <v>25</v>
      </c>
      <c r="F14" s="25" t="s">
        <v>18</v>
      </c>
      <c r="G14" s="25" t="s">
        <v>5</v>
      </c>
      <c r="H14" s="25" t="s">
        <v>19</v>
      </c>
    </row>
    <row r="15">
      <c r="D15" s="11" t="s">
        <v>20</v>
      </c>
      <c r="E15" s="12">
        <v>1000000.0</v>
      </c>
      <c r="F15" s="12">
        <f>662880.53+263249.6</f>
        <v>926130.13</v>
      </c>
      <c r="G15" s="13">
        <v>840000.0</v>
      </c>
      <c r="H15" s="14">
        <f t="shared" ref="H15:H16" si="3">(G15+G8)-F15</f>
        <v>-35971.13</v>
      </c>
    </row>
    <row r="16">
      <c r="D16" s="11" t="s">
        <v>21</v>
      </c>
      <c r="E16" s="12">
        <v>550000.0</v>
      </c>
      <c r="F16" s="12">
        <f>295457.77+56043.79</f>
        <v>351501.56</v>
      </c>
      <c r="G16" s="12">
        <v>330000.0</v>
      </c>
      <c r="H16" s="14">
        <f t="shared" si="3"/>
        <v>132950.44</v>
      </c>
    </row>
    <row r="17">
      <c r="D17" s="11" t="s">
        <v>22</v>
      </c>
      <c r="E17" s="12">
        <v>600000.0</v>
      </c>
      <c r="F17" s="12">
        <f>460311.1+6899.22</f>
        <v>467210.32</v>
      </c>
      <c r="G17" s="13">
        <v>540000.0</v>
      </c>
      <c r="H17" s="14">
        <f>G17-F17</f>
        <v>72789.68</v>
      </c>
    </row>
    <row r="18">
      <c r="D18" s="16" t="s">
        <v>23</v>
      </c>
      <c r="E18" s="17">
        <f t="shared" ref="E18:G18" si="4">SUM(E15:E17)</f>
        <v>2150000</v>
      </c>
      <c r="F18" s="17">
        <f t="shared" si="4"/>
        <v>1744842.01</v>
      </c>
      <c r="G18" s="18">
        <f t="shared" si="4"/>
        <v>1710000</v>
      </c>
      <c r="H18" s="20">
        <f>(G18+G11)-F18</f>
        <v>169768.99</v>
      </c>
    </row>
    <row r="19">
      <c r="D19" s="10"/>
      <c r="E19" s="10"/>
      <c r="F19" s="10"/>
      <c r="G19" s="10"/>
      <c r="H19" s="10"/>
    </row>
    <row r="20">
      <c r="D20" s="10"/>
      <c r="E20" s="10"/>
      <c r="F20" s="10"/>
      <c r="G20" s="10"/>
      <c r="H20" s="10"/>
    </row>
    <row r="21">
      <c r="D21" s="30" t="s">
        <v>29</v>
      </c>
      <c r="E21" s="24" t="s">
        <v>18</v>
      </c>
      <c r="F21" s="24" t="s">
        <v>5</v>
      </c>
      <c r="H21" s="10"/>
    </row>
    <row r="22">
      <c r="D22" s="11" t="s">
        <v>20</v>
      </c>
      <c r="E22" s="12">
        <v>426307.0</v>
      </c>
      <c r="F22" s="13">
        <v>500000.0</v>
      </c>
      <c r="H22" s="10"/>
    </row>
    <row r="23">
      <c r="D23" s="11" t="s">
        <v>21</v>
      </c>
      <c r="E23" s="12">
        <v>186513.0</v>
      </c>
      <c r="F23" s="13"/>
      <c r="H23" s="10"/>
    </row>
    <row r="24">
      <c r="D24" s="11" t="s">
        <v>22</v>
      </c>
      <c r="E24" s="12">
        <v>174201.0</v>
      </c>
      <c r="F24" s="13">
        <v>227210.0</v>
      </c>
      <c r="H24" s="10"/>
    </row>
    <row r="25">
      <c r="D25" s="16" t="s">
        <v>23</v>
      </c>
      <c r="E25" s="17">
        <f t="shared" ref="E25:F25" si="5">SUM(E22:E24)</f>
        <v>787021</v>
      </c>
      <c r="F25" s="18">
        <f t="shared" si="5"/>
        <v>727210</v>
      </c>
      <c r="H25" s="10"/>
    </row>
    <row r="28">
      <c r="D28" s="24" t="s">
        <v>26</v>
      </c>
      <c r="E28" s="24" t="s">
        <v>18</v>
      </c>
      <c r="F28" s="24" t="s">
        <v>5</v>
      </c>
      <c r="G28" s="24" t="s">
        <v>19</v>
      </c>
    </row>
    <row r="29">
      <c r="D29" s="11" t="s">
        <v>20</v>
      </c>
      <c r="E29" s="12">
        <f t="shared" ref="E29:F29" si="6">E8+F15+E22</f>
        <v>1702278.13</v>
      </c>
      <c r="F29" s="21">
        <f t="shared" si="6"/>
        <v>1740000</v>
      </c>
      <c r="G29" s="14">
        <f t="shared" ref="G29:G32" si="7">F29-E29</f>
        <v>37721.87</v>
      </c>
    </row>
    <row r="30">
      <c r="D30" s="11" t="s">
        <v>21</v>
      </c>
      <c r="E30" s="14">
        <f t="shared" ref="E30:E31" si="8">E9+F16+E23</f>
        <v>583562.56</v>
      </c>
      <c r="F30" s="21">
        <f>F9+G16+F54</f>
        <v>530000</v>
      </c>
      <c r="G30" s="14">
        <f t="shared" si="7"/>
        <v>-53562.56</v>
      </c>
    </row>
    <row r="31">
      <c r="D31" s="11" t="s">
        <v>22</v>
      </c>
      <c r="E31" s="14">
        <f t="shared" si="8"/>
        <v>641411.32</v>
      </c>
      <c r="F31" s="13">
        <f>F10+G17+F24</f>
        <v>767210</v>
      </c>
      <c r="G31" s="14">
        <f t="shared" si="7"/>
        <v>125798.68</v>
      </c>
    </row>
    <row r="32">
      <c r="D32" s="16" t="s">
        <v>23</v>
      </c>
      <c r="E32" s="17">
        <f t="shared" ref="E32:F32" si="9">SUM(E29:E31)</f>
        <v>2927252.01</v>
      </c>
      <c r="F32" s="18">
        <f t="shared" si="9"/>
        <v>3037210</v>
      </c>
      <c r="G32" s="17">
        <f t="shared" si="7"/>
        <v>109957.99</v>
      </c>
    </row>
    <row r="34">
      <c r="D34" s="31" t="s">
        <v>30</v>
      </c>
      <c r="E34" s="32" t="s">
        <v>31</v>
      </c>
      <c r="F34" s="33"/>
      <c r="G34" s="34"/>
      <c r="H34" s="32" t="s">
        <v>32</v>
      </c>
      <c r="I34" s="33"/>
      <c r="J34" s="34"/>
      <c r="K34" s="32" t="s">
        <v>26</v>
      </c>
      <c r="L34" s="33"/>
      <c r="M34" s="34"/>
      <c r="N34" s="31" t="s">
        <v>33</v>
      </c>
      <c r="O34" s="31" t="s">
        <v>34</v>
      </c>
    </row>
    <row r="35">
      <c r="D35" s="35"/>
      <c r="E35" s="25" t="s">
        <v>18</v>
      </c>
      <c r="F35" s="36" t="s">
        <v>35</v>
      </c>
      <c r="G35" s="36" t="s">
        <v>36</v>
      </c>
      <c r="H35" s="25" t="s">
        <v>18</v>
      </c>
      <c r="I35" s="36" t="s">
        <v>35</v>
      </c>
      <c r="J35" s="36" t="s">
        <v>36</v>
      </c>
      <c r="K35" s="25" t="s">
        <v>18</v>
      </c>
      <c r="L35" s="36" t="s">
        <v>35</v>
      </c>
      <c r="M35" s="36" t="s">
        <v>36</v>
      </c>
      <c r="N35" s="35"/>
      <c r="O35" s="35"/>
    </row>
    <row r="36">
      <c r="D36" s="37" t="s">
        <v>0</v>
      </c>
      <c r="E36" s="38">
        <v>944109.0</v>
      </c>
      <c r="F36" s="13">
        <v>2320.0</v>
      </c>
      <c r="G36" s="14">
        <f t="shared" ref="G36:G39" si="11">E36/F36</f>
        <v>406.9435345</v>
      </c>
      <c r="H36" s="38">
        <v>374747.0</v>
      </c>
      <c r="I36" s="13">
        <v>390.0</v>
      </c>
      <c r="J36" s="14">
        <f t="shared" ref="J36:J37" si="12">H36/I36</f>
        <v>960.8897436</v>
      </c>
      <c r="K36" s="12">
        <f t="shared" ref="K36:L36" si="10">E36+H36</f>
        <v>1318856</v>
      </c>
      <c r="L36" s="21">
        <f t="shared" si="10"/>
        <v>2710</v>
      </c>
      <c r="M36" s="14">
        <f t="shared" ref="M36:M39" si="14">K36/L36</f>
        <v>486.6627306</v>
      </c>
      <c r="N36" s="37">
        <v>165.0</v>
      </c>
      <c r="O36" s="39">
        <f t="shared" ref="O36:O39" si="15">K36/N36</f>
        <v>7993.066667</v>
      </c>
    </row>
    <row r="37">
      <c r="D37" s="37" t="s">
        <v>37</v>
      </c>
      <c r="E37" s="12">
        <v>340313.0</v>
      </c>
      <c r="F37" s="13">
        <v>255.0</v>
      </c>
      <c r="G37" s="14">
        <f t="shared" si="11"/>
        <v>1334.560784</v>
      </c>
      <c r="H37" s="12">
        <v>72689.0</v>
      </c>
      <c r="I37" s="13">
        <v>54.0</v>
      </c>
      <c r="J37" s="14">
        <f t="shared" si="12"/>
        <v>1346.092593</v>
      </c>
      <c r="K37" s="12">
        <f t="shared" ref="K37:L37" si="13">E37+H37</f>
        <v>413002</v>
      </c>
      <c r="L37" s="21">
        <f t="shared" si="13"/>
        <v>309</v>
      </c>
      <c r="M37" s="14">
        <f t="shared" si="14"/>
        <v>1336.576052</v>
      </c>
      <c r="N37" s="37">
        <v>8.0</v>
      </c>
      <c r="O37" s="39">
        <f t="shared" si="15"/>
        <v>51625.25</v>
      </c>
    </row>
    <row r="38">
      <c r="D38" s="37" t="s">
        <v>38</v>
      </c>
      <c r="E38" s="12">
        <v>481726.0</v>
      </c>
      <c r="F38" s="13">
        <v>233.0</v>
      </c>
      <c r="G38" s="14">
        <f t="shared" si="11"/>
        <v>2067.493562</v>
      </c>
      <c r="H38" s="12">
        <v>9610.0</v>
      </c>
      <c r="I38" s="13"/>
      <c r="J38" s="14"/>
      <c r="K38" s="12">
        <f t="shared" ref="K38:L38" si="16">E38+H38</f>
        <v>491336</v>
      </c>
      <c r="L38" s="21">
        <f t="shared" si="16"/>
        <v>233</v>
      </c>
      <c r="M38" s="14">
        <f t="shared" si="14"/>
        <v>2108.738197</v>
      </c>
      <c r="N38" s="37">
        <v>1.0</v>
      </c>
      <c r="O38" s="39">
        <f t="shared" si="15"/>
        <v>491336</v>
      </c>
    </row>
    <row r="39">
      <c r="D39" s="16" t="s">
        <v>23</v>
      </c>
      <c r="E39" s="17">
        <f t="shared" ref="E39:F39" si="17">SUM(E36:E38)</f>
        <v>1766148</v>
      </c>
      <c r="F39" s="18">
        <f t="shared" si="17"/>
        <v>2808</v>
      </c>
      <c r="G39" s="40">
        <f t="shared" si="11"/>
        <v>628.9700855</v>
      </c>
      <c r="H39" s="17">
        <f t="shared" ref="H39:I39" si="18">SUM(H36:H38)</f>
        <v>457046</v>
      </c>
      <c r="I39" s="18">
        <f t="shared" si="18"/>
        <v>444</v>
      </c>
      <c r="J39" s="40">
        <f>H39/I39</f>
        <v>1029.382883</v>
      </c>
      <c r="K39" s="41">
        <f t="shared" ref="K39:L39" si="19">E39+H39</f>
        <v>2223194</v>
      </c>
      <c r="L39" s="40">
        <f t="shared" si="19"/>
        <v>3252</v>
      </c>
      <c r="M39" s="40">
        <f t="shared" si="14"/>
        <v>683.6389914</v>
      </c>
      <c r="N39" s="16">
        <f>sum(N36:N38)</f>
        <v>174</v>
      </c>
      <c r="O39" s="42">
        <f t="shared" si="15"/>
        <v>12776.97701</v>
      </c>
    </row>
    <row r="45">
      <c r="M45" s="6" t="s">
        <v>39</v>
      </c>
    </row>
  </sheetData>
  <mergeCells count="6">
    <mergeCell ref="D34:D35"/>
    <mergeCell ref="E34:G34"/>
    <mergeCell ref="H34:J34"/>
    <mergeCell ref="K34:M34"/>
    <mergeCell ref="N34:N35"/>
    <mergeCell ref="O34:O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63"/>
  </cols>
  <sheetData>
    <row r="7">
      <c r="D7" s="24" t="s">
        <v>17</v>
      </c>
      <c r="E7" s="24" t="s">
        <v>18</v>
      </c>
      <c r="F7" s="24" t="s">
        <v>5</v>
      </c>
      <c r="G7" s="24" t="s">
        <v>19</v>
      </c>
      <c r="H7" s="10"/>
    </row>
    <row r="8">
      <c r="D8" s="11" t="s">
        <v>20</v>
      </c>
      <c r="E8" s="12">
        <v>349841.0</v>
      </c>
      <c r="F8" s="13">
        <v>400000.0</v>
      </c>
      <c r="G8" s="14">
        <f t="shared" ref="G8:G11" si="1">F8-E8</f>
        <v>50159</v>
      </c>
      <c r="H8" s="10"/>
    </row>
    <row r="9">
      <c r="D9" s="11" t="s">
        <v>21</v>
      </c>
      <c r="E9" s="12">
        <v>45548.0</v>
      </c>
      <c r="F9" s="12">
        <v>200000.0</v>
      </c>
      <c r="G9" s="14">
        <f t="shared" si="1"/>
        <v>154452</v>
      </c>
      <c r="H9" s="10"/>
    </row>
    <row r="10">
      <c r="D10" s="11" t="s">
        <v>22</v>
      </c>
      <c r="E10" s="15"/>
      <c r="F10" s="15"/>
      <c r="G10" s="14">
        <f t="shared" si="1"/>
        <v>0</v>
      </c>
      <c r="H10" s="10"/>
    </row>
    <row r="11">
      <c r="D11" s="16" t="s">
        <v>23</v>
      </c>
      <c r="E11" s="17">
        <f t="shared" ref="E11:F11" si="2">SUM(E8:E10)</f>
        <v>395389</v>
      </c>
      <c r="F11" s="18">
        <f t="shared" si="2"/>
        <v>600000</v>
      </c>
      <c r="G11" s="17">
        <f t="shared" si="1"/>
        <v>204611</v>
      </c>
      <c r="H11" s="10"/>
    </row>
    <row r="12">
      <c r="D12" s="10"/>
      <c r="E12" s="10"/>
      <c r="F12" s="10"/>
      <c r="G12" s="10"/>
      <c r="H12" s="10"/>
    </row>
    <row r="13">
      <c r="D13" s="10"/>
      <c r="E13" s="10"/>
      <c r="F13" s="10"/>
      <c r="G13" s="10"/>
      <c r="H13" s="10"/>
    </row>
    <row r="14">
      <c r="D14" s="25" t="s">
        <v>24</v>
      </c>
      <c r="E14" s="25" t="s">
        <v>25</v>
      </c>
      <c r="F14" s="25" t="s">
        <v>18</v>
      </c>
      <c r="G14" s="25" t="s">
        <v>5</v>
      </c>
      <c r="H14" s="25" t="s">
        <v>19</v>
      </c>
    </row>
    <row r="15">
      <c r="D15" s="11" t="s">
        <v>20</v>
      </c>
      <c r="E15" s="12">
        <v>1000000.0</v>
      </c>
      <c r="F15" s="12">
        <f>662880.53+263249.6</f>
        <v>926130.13</v>
      </c>
      <c r="G15" s="13">
        <v>840000.0</v>
      </c>
      <c r="H15" s="14">
        <f t="shared" ref="H15:H16" si="3">(G15+G8)-F15</f>
        <v>-35971.13</v>
      </c>
    </row>
    <row r="16">
      <c r="D16" s="11" t="s">
        <v>21</v>
      </c>
      <c r="E16" s="12">
        <v>550000.0</v>
      </c>
      <c r="F16" s="12">
        <f>295457.77+56043.79</f>
        <v>351501.56</v>
      </c>
      <c r="G16" s="12">
        <v>330000.0</v>
      </c>
      <c r="H16" s="14">
        <f t="shared" si="3"/>
        <v>132950.44</v>
      </c>
    </row>
    <row r="17">
      <c r="D17" s="11" t="s">
        <v>22</v>
      </c>
      <c r="E17" s="12">
        <v>600000.0</v>
      </c>
      <c r="F17" s="12">
        <f>460311.1+6899.22</f>
        <v>467210.32</v>
      </c>
      <c r="G17" s="13">
        <v>540000.0</v>
      </c>
      <c r="H17" s="14">
        <f>G17-F17</f>
        <v>72789.68</v>
      </c>
    </row>
    <row r="18">
      <c r="D18" s="16" t="s">
        <v>23</v>
      </c>
      <c r="E18" s="17">
        <f t="shared" ref="E18:G18" si="4">SUM(E15:E17)</f>
        <v>2150000</v>
      </c>
      <c r="F18" s="17">
        <f t="shared" si="4"/>
        <v>1744842.01</v>
      </c>
      <c r="G18" s="18">
        <f t="shared" si="4"/>
        <v>1710000</v>
      </c>
      <c r="H18" s="20">
        <f>(G18+G11)-F18</f>
        <v>169768.99</v>
      </c>
    </row>
    <row r="19">
      <c r="D19" s="10"/>
      <c r="E19" s="10"/>
      <c r="F19" s="10"/>
      <c r="G19" s="10"/>
      <c r="H19" s="10"/>
    </row>
    <row r="20">
      <c r="D20" s="10"/>
      <c r="E20" s="10"/>
      <c r="F20" s="10"/>
      <c r="G20" s="10"/>
      <c r="H20" s="10"/>
    </row>
    <row r="21">
      <c r="D21" s="30" t="s">
        <v>29</v>
      </c>
      <c r="E21" s="24" t="s">
        <v>18</v>
      </c>
      <c r="F21" s="24" t="s">
        <v>5</v>
      </c>
      <c r="H21" s="10"/>
    </row>
    <row r="22">
      <c r="D22" s="11" t="s">
        <v>20</v>
      </c>
      <c r="E22" s="12">
        <v>474442.0</v>
      </c>
      <c r="F22" s="13">
        <v>500000.0</v>
      </c>
      <c r="H22" s="10"/>
    </row>
    <row r="23">
      <c r="D23" s="11" t="s">
        <v>21</v>
      </c>
      <c r="E23" s="12">
        <v>205584.0</v>
      </c>
      <c r="F23" s="13"/>
      <c r="H23" s="10"/>
    </row>
    <row r="24">
      <c r="D24" s="11" t="s">
        <v>22</v>
      </c>
      <c r="E24" s="12">
        <v>194898.0</v>
      </c>
      <c r="F24" s="13">
        <v>227210.0</v>
      </c>
      <c r="H24" s="10"/>
    </row>
    <row r="25">
      <c r="D25" s="16" t="s">
        <v>23</v>
      </c>
      <c r="E25" s="17">
        <f t="shared" ref="E25:F25" si="5">SUM(E22:E24)</f>
        <v>874924</v>
      </c>
      <c r="F25" s="18">
        <f t="shared" si="5"/>
        <v>727210</v>
      </c>
      <c r="H25" s="10"/>
    </row>
    <row r="28">
      <c r="D28" s="24" t="s">
        <v>26</v>
      </c>
      <c r="E28" s="24" t="s">
        <v>18</v>
      </c>
      <c r="F28" s="24" t="s">
        <v>5</v>
      </c>
      <c r="G28" s="24" t="s">
        <v>19</v>
      </c>
    </row>
    <row r="29">
      <c r="D29" s="11" t="s">
        <v>20</v>
      </c>
      <c r="E29" s="12">
        <f t="shared" ref="E29:F29" si="6">E8+F15+E22</f>
        <v>1750413.13</v>
      </c>
      <c r="F29" s="21">
        <f t="shared" si="6"/>
        <v>1740000</v>
      </c>
      <c r="G29" s="14">
        <f t="shared" ref="G29:G32" si="7">F29-E29</f>
        <v>-10413.13</v>
      </c>
    </row>
    <row r="30">
      <c r="D30" s="11" t="s">
        <v>21</v>
      </c>
      <c r="E30" s="14">
        <f t="shared" ref="E30:E31" si="8">E9+F16+E23</f>
        <v>602633.56</v>
      </c>
      <c r="F30" s="21">
        <f>F9+G16+F54</f>
        <v>530000</v>
      </c>
      <c r="G30" s="14">
        <f t="shared" si="7"/>
        <v>-72633.56</v>
      </c>
    </row>
    <row r="31">
      <c r="D31" s="11" t="s">
        <v>22</v>
      </c>
      <c r="E31" s="14">
        <f t="shared" si="8"/>
        <v>662108.32</v>
      </c>
      <c r="F31" s="13">
        <f>F10+G17+F24</f>
        <v>767210</v>
      </c>
      <c r="G31" s="14">
        <f t="shared" si="7"/>
        <v>105101.68</v>
      </c>
    </row>
    <row r="32">
      <c r="D32" s="16" t="s">
        <v>23</v>
      </c>
      <c r="E32" s="17">
        <f t="shared" ref="E32:F32" si="9">SUM(E29:E31)</f>
        <v>3015155.01</v>
      </c>
      <c r="F32" s="18">
        <f t="shared" si="9"/>
        <v>3037210</v>
      </c>
      <c r="G32" s="17">
        <f t="shared" si="7"/>
        <v>22054.99</v>
      </c>
    </row>
    <row r="34">
      <c r="D34" s="31" t="s">
        <v>30</v>
      </c>
      <c r="E34" s="32" t="s">
        <v>31</v>
      </c>
      <c r="F34" s="33"/>
      <c r="G34" s="34"/>
      <c r="H34" s="32" t="s">
        <v>32</v>
      </c>
      <c r="I34" s="33"/>
      <c r="J34" s="34"/>
      <c r="K34" s="32" t="s">
        <v>26</v>
      </c>
      <c r="L34" s="33"/>
      <c r="M34" s="34"/>
      <c r="N34" s="31" t="s">
        <v>33</v>
      </c>
      <c r="O34" s="31" t="s">
        <v>34</v>
      </c>
    </row>
    <row r="35">
      <c r="D35" s="35"/>
      <c r="E35" s="25" t="s">
        <v>18</v>
      </c>
      <c r="F35" s="36" t="s">
        <v>35</v>
      </c>
      <c r="G35" s="36" t="s">
        <v>36</v>
      </c>
      <c r="H35" s="25" t="s">
        <v>18</v>
      </c>
      <c r="I35" s="36" t="s">
        <v>35</v>
      </c>
      <c r="J35" s="36" t="s">
        <v>36</v>
      </c>
      <c r="K35" s="25" t="s">
        <v>18</v>
      </c>
      <c r="L35" s="36" t="s">
        <v>35</v>
      </c>
      <c r="M35" s="36" t="s">
        <v>36</v>
      </c>
      <c r="N35" s="35"/>
      <c r="O35" s="35"/>
    </row>
    <row r="36">
      <c r="D36" s="37" t="s">
        <v>0</v>
      </c>
      <c r="E36" s="38">
        <v>944109.0</v>
      </c>
      <c r="F36" s="13">
        <v>2320.0</v>
      </c>
      <c r="G36" s="14">
        <f t="shared" ref="G36:G39" si="11">E36/F36</f>
        <v>406.9435345</v>
      </c>
      <c r="H36" s="38">
        <v>374747.0</v>
      </c>
      <c r="I36" s="13">
        <v>390.0</v>
      </c>
      <c r="J36" s="14">
        <f t="shared" ref="J36:J37" si="12">H36/I36</f>
        <v>960.8897436</v>
      </c>
      <c r="K36" s="12">
        <f t="shared" ref="K36:L36" si="10">E36+H36</f>
        <v>1318856</v>
      </c>
      <c r="L36" s="21">
        <f t="shared" si="10"/>
        <v>2710</v>
      </c>
      <c r="M36" s="14">
        <f t="shared" ref="M36:M39" si="14">K36/L36</f>
        <v>486.6627306</v>
      </c>
      <c r="N36" s="37">
        <v>165.0</v>
      </c>
      <c r="O36" s="39">
        <f t="shared" ref="O36:O39" si="15">K36/N36</f>
        <v>7993.066667</v>
      </c>
    </row>
    <row r="37">
      <c r="D37" s="37" t="s">
        <v>37</v>
      </c>
      <c r="E37" s="12">
        <v>340313.0</v>
      </c>
      <c r="F37" s="13">
        <v>255.0</v>
      </c>
      <c r="G37" s="14">
        <f t="shared" si="11"/>
        <v>1334.560784</v>
      </c>
      <c r="H37" s="12">
        <v>72689.0</v>
      </c>
      <c r="I37" s="13">
        <v>54.0</v>
      </c>
      <c r="J37" s="14">
        <f t="shared" si="12"/>
        <v>1346.092593</v>
      </c>
      <c r="K37" s="12">
        <f t="shared" ref="K37:L37" si="13">E37+H37</f>
        <v>413002</v>
      </c>
      <c r="L37" s="21">
        <f t="shared" si="13"/>
        <v>309</v>
      </c>
      <c r="M37" s="14">
        <f t="shared" si="14"/>
        <v>1336.576052</v>
      </c>
      <c r="N37" s="37">
        <v>8.0</v>
      </c>
      <c r="O37" s="39">
        <f t="shared" si="15"/>
        <v>51625.25</v>
      </c>
    </row>
    <row r="38">
      <c r="D38" s="37" t="s">
        <v>38</v>
      </c>
      <c r="E38" s="12">
        <v>481726.0</v>
      </c>
      <c r="F38" s="13">
        <v>233.0</v>
      </c>
      <c r="G38" s="14">
        <f t="shared" si="11"/>
        <v>2067.493562</v>
      </c>
      <c r="H38" s="12">
        <v>9610.0</v>
      </c>
      <c r="I38" s="13"/>
      <c r="J38" s="14"/>
      <c r="K38" s="12">
        <f t="shared" ref="K38:L38" si="16">E38+H38</f>
        <v>491336</v>
      </c>
      <c r="L38" s="21">
        <f t="shared" si="16"/>
        <v>233</v>
      </c>
      <c r="M38" s="14">
        <f t="shared" si="14"/>
        <v>2108.738197</v>
      </c>
      <c r="N38" s="37">
        <v>1.0</v>
      </c>
      <c r="O38" s="39">
        <f t="shared" si="15"/>
        <v>491336</v>
      </c>
    </row>
    <row r="39">
      <c r="D39" s="16" t="s">
        <v>23</v>
      </c>
      <c r="E39" s="17">
        <f t="shared" ref="E39:F39" si="17">SUM(E36:E38)</f>
        <v>1766148</v>
      </c>
      <c r="F39" s="18">
        <f t="shared" si="17"/>
        <v>2808</v>
      </c>
      <c r="G39" s="40">
        <f t="shared" si="11"/>
        <v>628.9700855</v>
      </c>
      <c r="H39" s="17">
        <f t="shared" ref="H39:I39" si="18">SUM(H36:H38)</f>
        <v>457046</v>
      </c>
      <c r="I39" s="18">
        <f t="shared" si="18"/>
        <v>444</v>
      </c>
      <c r="J39" s="40">
        <f>H39/I39</f>
        <v>1029.382883</v>
      </c>
      <c r="K39" s="41">
        <f t="shared" ref="K39:L39" si="19">E39+H39</f>
        <v>2223194</v>
      </c>
      <c r="L39" s="40">
        <f t="shared" si="19"/>
        <v>3252</v>
      </c>
      <c r="M39" s="40">
        <f t="shared" si="14"/>
        <v>683.6389914</v>
      </c>
      <c r="N39" s="16">
        <f>sum(N36:N38)</f>
        <v>174</v>
      </c>
      <c r="O39" s="42">
        <f t="shared" si="15"/>
        <v>12776.97701</v>
      </c>
    </row>
    <row r="45">
      <c r="M45" s="6" t="s">
        <v>39</v>
      </c>
    </row>
  </sheetData>
  <mergeCells count="6">
    <mergeCell ref="D34:D35"/>
    <mergeCell ref="E34:G34"/>
    <mergeCell ref="H34:J34"/>
    <mergeCell ref="K34:M34"/>
    <mergeCell ref="N34:N35"/>
    <mergeCell ref="O34:O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63"/>
  </cols>
  <sheetData>
    <row r="7">
      <c r="D7" s="24" t="s">
        <v>17</v>
      </c>
      <c r="E7" s="24" t="s">
        <v>18</v>
      </c>
      <c r="F7" s="24" t="s">
        <v>5</v>
      </c>
      <c r="G7" s="24" t="s">
        <v>19</v>
      </c>
      <c r="H7" s="10"/>
    </row>
    <row r="8">
      <c r="D8" s="11" t="s">
        <v>20</v>
      </c>
      <c r="E8" s="12">
        <v>349841.0</v>
      </c>
      <c r="F8" s="13">
        <v>400000.0</v>
      </c>
      <c r="G8" s="14">
        <f t="shared" ref="G8:G11" si="1">F8-E8</f>
        <v>50159</v>
      </c>
      <c r="H8" s="10"/>
    </row>
    <row r="9">
      <c r="D9" s="11" t="s">
        <v>21</v>
      </c>
      <c r="E9" s="12">
        <v>45548.0</v>
      </c>
      <c r="F9" s="12">
        <v>200000.0</v>
      </c>
      <c r="G9" s="14">
        <f t="shared" si="1"/>
        <v>154452</v>
      </c>
      <c r="H9" s="10"/>
    </row>
    <row r="10">
      <c r="D10" s="11" t="s">
        <v>22</v>
      </c>
      <c r="E10" s="15"/>
      <c r="F10" s="15"/>
      <c r="G10" s="14">
        <f t="shared" si="1"/>
        <v>0</v>
      </c>
      <c r="H10" s="10"/>
      <c r="L10" s="43" t="s">
        <v>18</v>
      </c>
      <c r="M10" s="43" t="s">
        <v>35</v>
      </c>
      <c r="N10" s="43" t="s">
        <v>36</v>
      </c>
    </row>
    <row r="11">
      <c r="D11" s="16" t="s">
        <v>23</v>
      </c>
      <c r="E11" s="17">
        <f t="shared" ref="E11:F11" si="2">SUM(E8:E10)</f>
        <v>395389</v>
      </c>
      <c r="F11" s="18">
        <f t="shared" si="2"/>
        <v>600000</v>
      </c>
      <c r="G11" s="17">
        <f t="shared" si="1"/>
        <v>204611</v>
      </c>
      <c r="H11" s="10"/>
      <c r="L11" s="43">
        <v>207952.73</v>
      </c>
      <c r="M11" s="43">
        <v>117.0</v>
      </c>
      <c r="N11" s="43">
        <f t="shared" ref="N11:N12" si="3">L11/M11</f>
        <v>1777.373761</v>
      </c>
    </row>
    <row r="12">
      <c r="D12" s="10"/>
      <c r="E12" s="10"/>
      <c r="F12" s="10"/>
      <c r="G12" s="10"/>
      <c r="H12" s="10"/>
      <c r="L12" s="43">
        <v>72069.08</v>
      </c>
      <c r="M12" s="43">
        <v>19.0</v>
      </c>
      <c r="N12" s="43">
        <f t="shared" si="3"/>
        <v>3793.109474</v>
      </c>
    </row>
    <row r="13">
      <c r="D13" s="10"/>
      <c r="E13" s="10"/>
      <c r="F13" s="10"/>
      <c r="G13" s="10"/>
      <c r="H13" s="10"/>
    </row>
    <row r="14">
      <c r="D14" s="25" t="s">
        <v>24</v>
      </c>
      <c r="E14" s="25" t="s">
        <v>25</v>
      </c>
      <c r="F14" s="25" t="s">
        <v>18</v>
      </c>
      <c r="G14" s="25" t="s">
        <v>5</v>
      </c>
      <c r="H14" s="25" t="s">
        <v>19</v>
      </c>
    </row>
    <row r="15">
      <c r="D15" s="11" t="s">
        <v>20</v>
      </c>
      <c r="E15" s="12">
        <v>1000000.0</v>
      </c>
      <c r="F15" s="12">
        <f>662880.53+263249.6</f>
        <v>926130.13</v>
      </c>
      <c r="G15" s="13">
        <v>840000.0</v>
      </c>
      <c r="H15" s="14">
        <f t="shared" ref="H15:H16" si="4">(G15+G8)-F15</f>
        <v>-35971.13</v>
      </c>
    </row>
    <row r="16">
      <c r="D16" s="11" t="s">
        <v>21</v>
      </c>
      <c r="E16" s="12">
        <v>550000.0</v>
      </c>
      <c r="F16" s="12">
        <f>295457.77+56043.79</f>
        <v>351501.56</v>
      </c>
      <c r="G16" s="12">
        <v>330000.0</v>
      </c>
      <c r="H16" s="14">
        <f t="shared" si="4"/>
        <v>132950.44</v>
      </c>
    </row>
    <row r="17">
      <c r="D17" s="11" t="s">
        <v>22</v>
      </c>
      <c r="E17" s="12">
        <v>600000.0</v>
      </c>
      <c r="F17" s="12">
        <f>460311.1+6899.22</f>
        <v>467210.32</v>
      </c>
      <c r="G17" s="13">
        <v>540000.0</v>
      </c>
      <c r="H17" s="14">
        <f>G17-F17</f>
        <v>72789.68</v>
      </c>
    </row>
    <row r="18">
      <c r="D18" s="16" t="s">
        <v>23</v>
      </c>
      <c r="E18" s="17">
        <f t="shared" ref="E18:G18" si="5">SUM(E15:E17)</f>
        <v>2150000</v>
      </c>
      <c r="F18" s="17">
        <f t="shared" si="5"/>
        <v>1744842.01</v>
      </c>
      <c r="G18" s="18">
        <f t="shared" si="5"/>
        <v>1710000</v>
      </c>
      <c r="H18" s="20">
        <f>(G18+G11)-F18</f>
        <v>169768.99</v>
      </c>
    </row>
    <row r="19">
      <c r="D19" s="10"/>
      <c r="E19" s="10"/>
      <c r="F19" s="10"/>
      <c r="G19" s="10"/>
      <c r="H19" s="10"/>
    </row>
    <row r="20">
      <c r="D20" s="10"/>
      <c r="E20" s="10"/>
      <c r="F20" s="10"/>
      <c r="G20" s="10"/>
      <c r="H20" s="10"/>
    </row>
    <row r="21">
      <c r="D21" s="30" t="s">
        <v>29</v>
      </c>
      <c r="E21" s="24" t="s">
        <v>18</v>
      </c>
      <c r="F21" s="24" t="s">
        <v>5</v>
      </c>
      <c r="H21" s="10"/>
    </row>
    <row r="22">
      <c r="D22" s="11" t="s">
        <v>20</v>
      </c>
      <c r="E22" s="12">
        <v>498368.0</v>
      </c>
      <c r="F22" s="13">
        <f>500000+200000</f>
        <v>700000</v>
      </c>
      <c r="H22" s="10"/>
    </row>
    <row r="23">
      <c r="D23" s="11" t="s">
        <v>21</v>
      </c>
      <c r="E23" s="12">
        <v>213714.0</v>
      </c>
      <c r="F23" s="13">
        <v>250000.0</v>
      </c>
      <c r="H23" s="10"/>
    </row>
    <row r="24">
      <c r="D24" s="11" t="s">
        <v>22</v>
      </c>
      <c r="E24" s="12">
        <v>201786.0</v>
      </c>
      <c r="F24" s="13">
        <v>227210.0</v>
      </c>
      <c r="H24" s="10"/>
    </row>
    <row r="25">
      <c r="D25" s="16" t="s">
        <v>23</v>
      </c>
      <c r="E25" s="17">
        <f t="shared" ref="E25:F25" si="6">SUM(E22:E24)</f>
        <v>913868</v>
      </c>
      <c r="F25" s="18">
        <f t="shared" si="6"/>
        <v>1177210</v>
      </c>
      <c r="H25" s="10"/>
    </row>
    <row r="28">
      <c r="D28" s="24" t="s">
        <v>26</v>
      </c>
      <c r="E28" s="24" t="s">
        <v>18</v>
      </c>
      <c r="F28" s="24" t="s">
        <v>5</v>
      </c>
      <c r="G28" s="24" t="s">
        <v>19</v>
      </c>
    </row>
    <row r="29">
      <c r="D29" s="11" t="s">
        <v>20</v>
      </c>
      <c r="E29" s="12">
        <f t="shared" ref="E29:F29" si="7">E8+F15+E22</f>
        <v>1774339.13</v>
      </c>
      <c r="F29" s="21">
        <f t="shared" si="7"/>
        <v>1940000</v>
      </c>
      <c r="G29" s="14">
        <f t="shared" ref="G29:G32" si="8">F29-E29</f>
        <v>165660.87</v>
      </c>
    </row>
    <row r="30">
      <c r="D30" s="11" t="s">
        <v>21</v>
      </c>
      <c r="E30" s="14">
        <f t="shared" ref="E30:E31" si="9">E9+F16+E23</f>
        <v>610763.56</v>
      </c>
      <c r="F30" s="21">
        <f>F9+G16+F54+F23</f>
        <v>780000</v>
      </c>
      <c r="G30" s="14">
        <f t="shared" si="8"/>
        <v>169236.44</v>
      </c>
    </row>
    <row r="31">
      <c r="D31" s="11" t="s">
        <v>22</v>
      </c>
      <c r="E31" s="14">
        <f t="shared" si="9"/>
        <v>668996.32</v>
      </c>
      <c r="F31" s="13">
        <f>F10+G17+F24</f>
        <v>767210</v>
      </c>
      <c r="G31" s="14">
        <f t="shared" si="8"/>
        <v>98213.68</v>
      </c>
    </row>
    <row r="32">
      <c r="D32" s="16" t="s">
        <v>23</v>
      </c>
      <c r="E32" s="17">
        <f t="shared" ref="E32:F32" si="10">SUM(E29:E31)</f>
        <v>3054099.01</v>
      </c>
      <c r="F32" s="18">
        <f t="shared" si="10"/>
        <v>3487210</v>
      </c>
      <c r="G32" s="17">
        <f t="shared" si="8"/>
        <v>433110.99</v>
      </c>
    </row>
    <row r="34">
      <c r="D34" s="31" t="s">
        <v>30</v>
      </c>
      <c r="E34" s="32" t="s">
        <v>31</v>
      </c>
      <c r="F34" s="33"/>
      <c r="G34" s="34"/>
      <c r="H34" s="32" t="s">
        <v>32</v>
      </c>
      <c r="I34" s="33"/>
      <c r="J34" s="34"/>
      <c r="K34" s="32" t="s">
        <v>26</v>
      </c>
      <c r="L34" s="33"/>
      <c r="M34" s="34"/>
      <c r="N34" s="31" t="s">
        <v>33</v>
      </c>
      <c r="O34" s="31" t="s">
        <v>34</v>
      </c>
    </row>
    <row r="35">
      <c r="D35" s="35"/>
      <c r="E35" s="25" t="s">
        <v>18</v>
      </c>
      <c r="F35" s="36" t="s">
        <v>35</v>
      </c>
      <c r="G35" s="36" t="s">
        <v>36</v>
      </c>
      <c r="H35" s="25" t="s">
        <v>18</v>
      </c>
      <c r="I35" s="36" t="s">
        <v>35</v>
      </c>
      <c r="J35" s="36" t="s">
        <v>36</v>
      </c>
      <c r="K35" s="25" t="s">
        <v>18</v>
      </c>
      <c r="L35" s="36" t="s">
        <v>35</v>
      </c>
      <c r="M35" s="36" t="s">
        <v>36</v>
      </c>
      <c r="N35" s="35"/>
      <c r="O35" s="35"/>
    </row>
    <row r="36">
      <c r="D36" s="37" t="s">
        <v>0</v>
      </c>
      <c r="E36" s="38">
        <v>944109.0</v>
      </c>
      <c r="F36" s="13">
        <v>2320.0</v>
      </c>
      <c r="G36" s="14">
        <f t="shared" ref="G36:G39" si="12">E36/F36</f>
        <v>406.9435345</v>
      </c>
      <c r="H36" s="38">
        <v>374747.0</v>
      </c>
      <c r="I36" s="13">
        <v>390.0</v>
      </c>
      <c r="J36" s="14">
        <f t="shared" ref="J36:J37" si="13">H36/I36</f>
        <v>960.8897436</v>
      </c>
      <c r="K36" s="12">
        <f t="shared" ref="K36:L36" si="11">E36+H36</f>
        <v>1318856</v>
      </c>
      <c r="L36" s="21">
        <f t="shared" si="11"/>
        <v>2710</v>
      </c>
      <c r="M36" s="14">
        <f t="shared" ref="M36:M39" si="15">K36/L36</f>
        <v>486.6627306</v>
      </c>
      <c r="N36" s="37">
        <v>165.0</v>
      </c>
      <c r="O36" s="39">
        <f t="shared" ref="O36:O39" si="16">K36/N36</f>
        <v>7993.066667</v>
      </c>
    </row>
    <row r="37">
      <c r="D37" s="37" t="s">
        <v>37</v>
      </c>
      <c r="E37" s="12">
        <v>340313.0</v>
      </c>
      <c r="F37" s="13">
        <v>255.0</v>
      </c>
      <c r="G37" s="14">
        <f t="shared" si="12"/>
        <v>1334.560784</v>
      </c>
      <c r="H37" s="12">
        <v>72689.0</v>
      </c>
      <c r="I37" s="13">
        <v>54.0</v>
      </c>
      <c r="J37" s="14">
        <f t="shared" si="13"/>
        <v>1346.092593</v>
      </c>
      <c r="K37" s="12">
        <f t="shared" ref="K37:L37" si="14">E37+H37</f>
        <v>413002</v>
      </c>
      <c r="L37" s="21">
        <f t="shared" si="14"/>
        <v>309</v>
      </c>
      <c r="M37" s="14">
        <f t="shared" si="15"/>
        <v>1336.576052</v>
      </c>
      <c r="N37" s="37">
        <v>8.0</v>
      </c>
      <c r="O37" s="39">
        <f t="shared" si="16"/>
        <v>51625.25</v>
      </c>
    </row>
    <row r="38">
      <c r="D38" s="37" t="s">
        <v>38</v>
      </c>
      <c r="E38" s="12">
        <v>481726.0</v>
      </c>
      <c r="F38" s="13">
        <v>233.0</v>
      </c>
      <c r="G38" s="14">
        <f t="shared" si="12"/>
        <v>2067.493562</v>
      </c>
      <c r="H38" s="12">
        <v>9610.0</v>
      </c>
      <c r="I38" s="13"/>
      <c r="J38" s="14"/>
      <c r="K38" s="12">
        <f t="shared" ref="K38:L38" si="17">E38+H38</f>
        <v>491336</v>
      </c>
      <c r="L38" s="21">
        <f t="shared" si="17"/>
        <v>233</v>
      </c>
      <c r="M38" s="14">
        <f t="shared" si="15"/>
        <v>2108.738197</v>
      </c>
      <c r="N38" s="37">
        <v>1.0</v>
      </c>
      <c r="O38" s="39">
        <f t="shared" si="16"/>
        <v>491336</v>
      </c>
    </row>
    <row r="39">
      <c r="D39" s="16" t="s">
        <v>23</v>
      </c>
      <c r="E39" s="17">
        <f t="shared" ref="E39:F39" si="18">SUM(E36:E38)</f>
        <v>1766148</v>
      </c>
      <c r="F39" s="18">
        <f t="shared" si="18"/>
        <v>2808</v>
      </c>
      <c r="G39" s="40">
        <f t="shared" si="12"/>
        <v>628.9700855</v>
      </c>
      <c r="H39" s="17">
        <f t="shared" ref="H39:I39" si="19">SUM(H36:H38)</f>
        <v>457046</v>
      </c>
      <c r="I39" s="18">
        <f t="shared" si="19"/>
        <v>444</v>
      </c>
      <c r="J39" s="40">
        <f>H39/I39</f>
        <v>1029.382883</v>
      </c>
      <c r="K39" s="41">
        <f t="shared" ref="K39:L39" si="20">E39+H39</f>
        <v>2223194</v>
      </c>
      <c r="L39" s="40">
        <f t="shared" si="20"/>
        <v>3252</v>
      </c>
      <c r="M39" s="40">
        <f t="shared" si="15"/>
        <v>683.6389914</v>
      </c>
      <c r="N39" s="16">
        <f>sum(N36:N38)</f>
        <v>174</v>
      </c>
      <c r="O39" s="42">
        <f t="shared" si="16"/>
        <v>12776.97701</v>
      </c>
    </row>
    <row r="45">
      <c r="M45" s="6" t="s">
        <v>39</v>
      </c>
    </row>
  </sheetData>
  <mergeCells count="6">
    <mergeCell ref="D34:D35"/>
    <mergeCell ref="E34:G34"/>
    <mergeCell ref="H34:J34"/>
    <mergeCell ref="K34:M34"/>
    <mergeCell ref="N34:N35"/>
    <mergeCell ref="O34:O35"/>
  </mergeCells>
  <drawing r:id="rId1"/>
</worksheet>
</file>