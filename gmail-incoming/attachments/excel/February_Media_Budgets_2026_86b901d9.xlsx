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esktop\DUMP\Social Media ( Sharon )\Media Budget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" i="1" l="1"/>
  <c r="I5" i="1" s="1"/>
  <c r="E9" i="1"/>
  <c r="E13" i="1" s="1"/>
  <c r="K8" i="1"/>
  <c r="K7" i="1"/>
  <c r="K6" i="1"/>
  <c r="E4" i="1"/>
  <c r="H4" i="1" s="1"/>
  <c r="E3" i="1"/>
  <c r="G3" i="1" s="1"/>
  <c r="E6" i="1" l="1"/>
  <c r="I13" i="1"/>
  <c r="K5" i="1"/>
  <c r="G13" i="1"/>
  <c r="K3" i="1"/>
  <c r="K4" i="1"/>
  <c r="H13" i="1"/>
  <c r="J9" i="1"/>
  <c r="K9" i="1" l="1"/>
  <c r="K13" i="1" s="1"/>
  <c r="J13" i="1"/>
</calcChain>
</file>

<file path=xl/sharedStrings.xml><?xml version="1.0" encoding="utf-8"?>
<sst xmlns="http://schemas.openxmlformats.org/spreadsheetml/2006/main" count="28" uniqueCount="16">
  <si>
    <t>S.No</t>
  </si>
  <si>
    <t>Particulars</t>
  </si>
  <si>
    <t>Spends</t>
  </si>
  <si>
    <t>Days</t>
  </si>
  <si>
    <t>Total</t>
  </si>
  <si>
    <t>IG Timeline Posts</t>
  </si>
  <si>
    <t>IG Dark Posts</t>
  </si>
  <si>
    <t>IG Lookalike Audience for all territories for the whole month</t>
  </si>
  <si>
    <t>FB Timeline Posts</t>
  </si>
  <si>
    <t>A)</t>
  </si>
  <si>
    <t>Lookalike Audience</t>
  </si>
  <si>
    <t>B)</t>
  </si>
  <si>
    <t>Custom Audience</t>
  </si>
  <si>
    <t>C)</t>
  </si>
  <si>
    <t>Fans</t>
  </si>
  <si>
    <t>February Media Budgets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</si>
</sst>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₹&quot;\ 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9B3E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FF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3" borderId="4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 wrapText="1"/>
    </xf>
    <xf numFmtId="164" fontId="1" fillId="3" borderId="5" xfId="0" applyNumberFormat="1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164" fontId="1" fillId="5" borderId="5" xfId="0" applyNumberFormat="1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 wrapText="1"/>
    </xf>
    <xf numFmtId="164" fontId="1" fillId="4" borderId="5" xfId="0" applyNumberFormat="1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164" fontId="1" fillId="4" borderId="5" xfId="0" applyNumberFormat="1" applyFont="1" applyFill="1" applyBorder="1" applyAlignment="1">
      <alignment horizontal="center" vertical="center"/>
    </xf>
    <xf numFmtId="164" fontId="1" fillId="5" borderId="10" xfId="0" applyNumberFormat="1" applyFont="1" applyFill="1" applyBorder="1" applyAlignment="1">
      <alignment horizontal="center" vertical="center"/>
    </xf>
    <xf numFmtId="164" fontId="1" fillId="5" borderId="6" xfId="0" applyNumberFormat="1" applyFont="1" applyFill="1" applyBorder="1" applyAlignment="1">
      <alignment horizontal="center" vertical="center"/>
    </xf>
    <xf numFmtId="164" fontId="1" fillId="5" borderId="4" xfId="0" applyNumberFormat="1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 wrapText="1"/>
    </xf>
    <xf numFmtId="164" fontId="1" fillId="6" borderId="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tabSelected="1" workbookViewId="0">
      <selection activeCell="E6" sqref="E6"/>
    </sheetView>
  </sheetViews>
  <sheetFormatPr defaultRowHeight="15" x14ac:dyDescent="0.25"/>
  <cols>
    <col min="2" max="3" width="11" customWidth="1"/>
    <col min="5" max="5" width="10.7109375" bestFit="1" customWidth="1"/>
    <col min="8" max="8" width="9.7109375" bestFit="1" customWidth="1"/>
    <col min="9" max="9" width="10.7109375" bestFit="1" customWidth="1"/>
    <col min="10" max="10" width="9.7109375" bestFit="1" customWidth="1"/>
    <col min="11" max="11" width="10.7109375" bestFit="1" customWidth="1"/>
  </cols>
  <sheetData>
    <row r="1" spans="1:11" ht="15.75" thickBot="1" x14ac:dyDescent="0.3">
      <c r="A1" s="1" t="s">
        <v>15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ht="120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5"/>
      <c r="G2" s="6" t="s">
        <v>5</v>
      </c>
      <c r="H2" s="6" t="s">
        <v>6</v>
      </c>
      <c r="I2" s="6" t="s">
        <v>7</v>
      </c>
      <c r="J2" s="7" t="s">
        <v>8</v>
      </c>
      <c r="K2" s="8" t="s">
        <v>4</v>
      </c>
    </row>
    <row r="3" spans="1:11" ht="45" x14ac:dyDescent="0.25">
      <c r="A3" s="9">
        <v>1</v>
      </c>
      <c r="B3" s="10" t="s">
        <v>5</v>
      </c>
      <c r="C3" s="11">
        <v>1000</v>
      </c>
      <c r="D3" s="9">
        <v>28</v>
      </c>
      <c r="E3" s="11">
        <f>C3*D3</f>
        <v>28000</v>
      </c>
      <c r="F3" s="5"/>
      <c r="G3" s="11">
        <f>E3</f>
        <v>28000</v>
      </c>
      <c r="H3" s="9"/>
      <c r="I3" s="9"/>
      <c r="J3" s="12"/>
      <c r="K3" s="13">
        <f>SUM(G3:J3)</f>
        <v>28000</v>
      </c>
    </row>
    <row r="4" spans="1:11" ht="30" x14ac:dyDescent="0.25">
      <c r="A4" s="9">
        <v>2</v>
      </c>
      <c r="B4" s="10" t="s">
        <v>6</v>
      </c>
      <c r="C4" s="11">
        <v>10000</v>
      </c>
      <c r="D4" s="9">
        <v>28</v>
      </c>
      <c r="E4" s="11">
        <f>C4*D4</f>
        <v>280000</v>
      </c>
      <c r="F4" s="5"/>
      <c r="G4" s="9"/>
      <c r="H4" s="11">
        <f>E4</f>
        <v>280000</v>
      </c>
      <c r="I4" s="11"/>
      <c r="J4" s="12"/>
      <c r="K4" s="13">
        <f>SUM(G4:J4)</f>
        <v>280000</v>
      </c>
    </row>
    <row r="5" spans="1:11" ht="135" x14ac:dyDescent="0.25">
      <c r="A5" s="9">
        <v>3</v>
      </c>
      <c r="B5" s="10" t="s">
        <v>7</v>
      </c>
      <c r="C5" s="11">
        <v>58167</v>
      </c>
      <c r="D5" s="9">
        <v>28</v>
      </c>
      <c r="E5" s="11">
        <f>C5*D5</f>
        <v>1628676</v>
      </c>
      <c r="F5" s="5"/>
      <c r="G5" s="9"/>
      <c r="H5" s="11"/>
      <c r="I5" s="11">
        <f>E5</f>
        <v>1628676</v>
      </c>
      <c r="J5" s="12"/>
      <c r="K5" s="13">
        <f>SUM(G5:J5)</f>
        <v>1628676</v>
      </c>
    </row>
    <row r="6" spans="1:11" x14ac:dyDescent="0.25">
      <c r="A6" s="14" t="s">
        <v>4</v>
      </c>
      <c r="B6" s="15"/>
      <c r="C6" s="15"/>
      <c r="D6" s="16"/>
      <c r="E6" s="11">
        <f>SUM(E3:E5)</f>
        <v>1936676</v>
      </c>
      <c r="F6" s="5"/>
      <c r="G6" s="9"/>
      <c r="H6" s="9"/>
      <c r="I6" s="9"/>
      <c r="J6" s="12"/>
      <c r="K6" s="13">
        <f>SUM(J6:J6)</f>
        <v>0</v>
      </c>
    </row>
    <row r="7" spans="1:11" x14ac:dyDescent="0.25">
      <c r="A7" s="5"/>
      <c r="B7" s="5"/>
      <c r="C7" s="5"/>
      <c r="D7" s="5"/>
      <c r="E7" s="5"/>
      <c r="F7" s="5"/>
      <c r="G7" s="9"/>
      <c r="H7" s="9"/>
      <c r="I7" s="9"/>
      <c r="J7" s="12"/>
      <c r="K7" s="13">
        <f>SUM(J7:J7)</f>
        <v>0</v>
      </c>
    </row>
    <row r="8" spans="1:11" x14ac:dyDescent="0.25">
      <c r="A8" s="12" t="s">
        <v>0</v>
      </c>
      <c r="B8" s="12" t="s">
        <v>1</v>
      </c>
      <c r="C8" s="12" t="s">
        <v>2</v>
      </c>
      <c r="D8" s="12" t="s">
        <v>3</v>
      </c>
      <c r="E8" s="12" t="s">
        <v>4</v>
      </c>
      <c r="F8" s="5"/>
      <c r="G8" s="9"/>
      <c r="H8" s="9"/>
      <c r="I8" s="9"/>
      <c r="J8" s="12"/>
      <c r="K8" s="13">
        <f>SUM(J8:J8)</f>
        <v>0</v>
      </c>
    </row>
    <row r="9" spans="1:11" ht="45" x14ac:dyDescent="0.25">
      <c r="A9" s="17">
        <v>1</v>
      </c>
      <c r="B9" s="17" t="s">
        <v>8</v>
      </c>
      <c r="C9" s="18">
        <v>8000</v>
      </c>
      <c r="D9" s="19">
        <v>28</v>
      </c>
      <c r="E9" s="20">
        <f>C9*D9</f>
        <v>224000</v>
      </c>
      <c r="F9" s="5"/>
      <c r="G9" s="9"/>
      <c r="H9" s="9"/>
      <c r="I9" s="9"/>
      <c r="J9" s="20">
        <f>E9</f>
        <v>224000</v>
      </c>
      <c r="K9" s="21">
        <f>SUM(J9:J9)</f>
        <v>224000</v>
      </c>
    </row>
    <row r="10" spans="1:11" ht="60" x14ac:dyDescent="0.25">
      <c r="A10" s="17" t="s">
        <v>9</v>
      </c>
      <c r="B10" s="17" t="s">
        <v>10</v>
      </c>
      <c r="C10" s="18">
        <v>3500</v>
      </c>
      <c r="D10" s="19"/>
      <c r="E10" s="20"/>
      <c r="F10" s="5"/>
      <c r="G10" s="9"/>
      <c r="H10" s="9"/>
      <c r="I10" s="9"/>
      <c r="J10" s="19"/>
      <c r="K10" s="22"/>
    </row>
    <row r="11" spans="1:11" ht="45" x14ac:dyDescent="0.25">
      <c r="A11" s="17" t="s">
        <v>11</v>
      </c>
      <c r="B11" s="17" t="s">
        <v>12</v>
      </c>
      <c r="C11" s="18">
        <v>3500</v>
      </c>
      <c r="D11" s="19"/>
      <c r="E11" s="20"/>
      <c r="F11" s="5"/>
      <c r="G11" s="9"/>
      <c r="H11" s="9"/>
      <c r="I11" s="9"/>
      <c r="J11" s="19"/>
      <c r="K11" s="22"/>
    </row>
    <row r="12" spans="1:11" x14ac:dyDescent="0.25">
      <c r="A12" s="17" t="s">
        <v>13</v>
      </c>
      <c r="B12" s="17" t="s">
        <v>14</v>
      </c>
      <c r="C12" s="18">
        <v>1000</v>
      </c>
      <c r="D12" s="19"/>
      <c r="E12" s="20"/>
      <c r="F12" s="5"/>
      <c r="G12" s="9"/>
      <c r="H12" s="9"/>
      <c r="I12" s="9"/>
      <c r="J12" s="19"/>
      <c r="K12" s="23"/>
    </row>
    <row r="13" spans="1:11" x14ac:dyDescent="0.25">
      <c r="A13" s="24" t="s">
        <v>4</v>
      </c>
      <c r="B13" s="24"/>
      <c r="C13" s="24"/>
      <c r="D13" s="24"/>
      <c r="E13" s="18">
        <f>SUM(E9:E12)</f>
        <v>224000</v>
      </c>
      <c r="G13" s="25">
        <f>SUM(G3:G12)</f>
        <v>28000</v>
      </c>
      <c r="H13" s="25">
        <f>SUM(H3:H12)</f>
        <v>280000</v>
      </c>
      <c r="I13" s="25">
        <f>SUM(I3:I12)</f>
        <v>1628676</v>
      </c>
      <c r="J13" s="25">
        <f>SUM(J3:J12)</f>
        <v>224000</v>
      </c>
      <c r="K13" s="25">
        <f>SUM(K3:K12)</f>
        <v>2160676</v>
      </c>
    </row>
  </sheetData>
  <mergeCells count="7">
    <mergeCell ref="A13:D13"/>
    <mergeCell ref="A1:K1"/>
    <mergeCell ref="A6:D6"/>
    <mergeCell ref="D9:D12"/>
    <mergeCell ref="E9:E12"/>
    <mergeCell ref="J9:J12"/>
    <mergeCell ref="K9:K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laeeq</dc:creator>
  <cp:lastModifiedBy>laeeq</cp:lastModifiedBy>
  <dcterms:created xsi:type="dcterms:W3CDTF">2026-01-30T12:08:46Z</dcterms:created>
  <dcterms:modified xsi:type="dcterms:W3CDTF">2026-01-30T12:11:55Z</dcterms:modified>
</cp:coreProperties>
</file>